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Hatalı Isler Yazılım PROD" sheetId="4" r:id="rId1"/>
    <sheet name="Hatalı Isler AYDB PROD" sheetId="2" r:id="rId2"/>
  </sheets>
  <definedNames>
    <definedName name="_xlnm._FilterDatabase" localSheetId="0" hidden="1">'Hatalı Isler Yazılım PROD'!$A$1:$E$27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9" i="4" l="1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H3" i="2" l="1"/>
  <c r="H4" i="2"/>
  <c r="H5" i="2"/>
  <c r="H6" i="2"/>
  <c r="H18" i="4"/>
  <c r="H21" i="4"/>
  <c r="H2" i="2"/>
  <c r="H22" i="4" l="1"/>
  <c r="H9" i="2" l="1"/>
</calcChain>
</file>

<file path=xl/sharedStrings.xml><?xml version="1.0" encoding="utf-8"?>
<sst xmlns="http://schemas.openxmlformats.org/spreadsheetml/2006/main" count="130" uniqueCount="71">
  <si>
    <t>MAG0VSAM</t>
  </si>
  <si>
    <t>MAG2VSAM</t>
  </si>
  <si>
    <t>Son Hatalı Çalışma Tarihi</t>
  </si>
  <si>
    <t>Sorumlu Ekip</t>
  </si>
  <si>
    <t>YGDB153</t>
  </si>
  <si>
    <t>Ekip Adı</t>
  </si>
  <si>
    <t xml:space="preserve">Hatalı Jcl </t>
  </si>
  <si>
    <t>Hatalı Jcl</t>
  </si>
  <si>
    <t>Jcl Adı</t>
  </si>
  <si>
    <t>Toplam</t>
  </si>
  <si>
    <t>Ana Sistemler SMS</t>
  </si>
  <si>
    <t>Ana Sistemler VTS</t>
  </si>
  <si>
    <t>PMUAI012</t>
  </si>
  <si>
    <t>YGDB012</t>
  </si>
  <si>
    <t>PYTKPRJ2</t>
  </si>
  <si>
    <t>MAG5VSAM</t>
  </si>
  <si>
    <t>MAG1VSAM</t>
  </si>
  <si>
    <t>YGDB152</t>
  </si>
  <si>
    <t>YGDB043</t>
  </si>
  <si>
    <t>YGDB051</t>
  </si>
  <si>
    <t>PKURG600</t>
  </si>
  <si>
    <t>PGBBU795</t>
  </si>
  <si>
    <t>PONTI144</t>
  </si>
  <si>
    <t>Hatalı Çalışma Sayısı 
(2024 Yılı Toplam)</t>
  </si>
  <si>
    <t>YGDB092</t>
  </si>
  <si>
    <t>YGDB105</t>
  </si>
  <si>
    <t>PEF2I108</t>
  </si>
  <si>
    <t>YGDB072</t>
  </si>
  <si>
    <t>PGBBV090</t>
  </si>
  <si>
    <t>YGDB151</t>
  </si>
  <si>
    <t>PDBSI001</t>
  </si>
  <si>
    <t>PONTI167</t>
  </si>
  <si>
    <t>PKRBI330</t>
  </si>
  <si>
    <t>PONTI487</t>
  </si>
  <si>
    <t>PCRMG130</t>
  </si>
  <si>
    <t>PONTI484</t>
  </si>
  <si>
    <t>PKURD275</t>
  </si>
  <si>
    <t>PONTI319</t>
  </si>
  <si>
    <t>PGECI943</t>
  </si>
  <si>
    <t>PKURD223</t>
  </si>
  <si>
    <t>PRHSTCI3</t>
  </si>
  <si>
    <t>PBKBI584</t>
  </si>
  <si>
    <t>PDBSI499</t>
  </si>
  <si>
    <t>PONTI362</t>
  </si>
  <si>
    <t>PKURD119</t>
  </si>
  <si>
    <t>PMKKI010</t>
  </si>
  <si>
    <t>PDVZG005</t>
  </si>
  <si>
    <t>PBORI002</t>
  </si>
  <si>
    <t>PFRDU001</t>
  </si>
  <si>
    <t>PRHST637</t>
  </si>
  <si>
    <t>PONTI185</t>
  </si>
  <si>
    <t>PGBBX001</t>
  </si>
  <si>
    <t>PDBSI472</t>
  </si>
  <si>
    <t>PMKLN002</t>
  </si>
  <si>
    <t>PGBBG537</t>
  </si>
  <si>
    <t>PESPI005</t>
  </si>
  <si>
    <t>PCRMX003</t>
  </si>
  <si>
    <t>PONTI645</t>
  </si>
  <si>
    <t>PKURD199</t>
  </si>
  <si>
    <t>PIHRI031</t>
  </si>
  <si>
    <t>PKPBU237</t>
  </si>
  <si>
    <t>PWBSE006</t>
  </si>
  <si>
    <t>PRHSXBO1</t>
  </si>
  <si>
    <t>Hatalı Çalışma Sayısı 
(KASIM  2024)</t>
  </si>
  <si>
    <t>YGDB055</t>
  </si>
  <si>
    <t>YGDB063</t>
  </si>
  <si>
    <t>YGDB075</t>
  </si>
  <si>
    <t>YGDB114</t>
  </si>
  <si>
    <t>YGDB014</t>
  </si>
  <si>
    <t>YGDB07</t>
  </si>
  <si>
    <t>YGDB054</t>
  </si>
</sst>
</file>

<file path=xl/styles.xml><?xml version="1.0" encoding="utf-8"?>
<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="http://schemas.openxmlformats.org/spreadsheetml/2006/main" mc:Ignorable="x14ac x16r2"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charset val="162"/>
    </font>
    <font>
      <sz val="11"/>
      <color rgb="FF000000"/>
      <name val="Calibri"/>
      <family val="2"/>
      <charset val="162"/>
    </font>
    <font>
      <b/>
      <sz val="11"/>
      <color rgb="FFFFFFFF"/>
      <name val="Calibri"/>
      <family val="2"/>
      <charset val="162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/>
    </xf>
    <xf numFmtId="14" fontId="2" fillId="0" borderId="5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4" fontId="2" fillId="0" borderId="2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14" fontId="2" fillId="0" borderId="4" xfId="0" applyNumberFormat="1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14" fontId="2" fillId="0" borderId="10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1" xfId="0" applyFill="1" applyBorder="1"/>
    <xf numFmtId="0" fontId="0" fillId="0" borderId="11" xfId="0" applyFill="1" applyBorder="1"/>
    <xf numFmtId="0" fontId="0" fillId="0" borderId="1" xfId="0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4" fontId="4" fillId="0" borderId="2" xfId="0" applyNumberFormat="1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14" fontId="4" fillId="0" borderId="10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14" fontId="4" fillId="0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6"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  <bottom style="thin">
          <color theme="0"/>
        </bottom>
      </border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 outline="0"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id="5" name="Table5" displayName="Table5" ref="A1:E41" totalsRowShown="0" headerRowDxfId="25" dataDxfId="24" tableBorderDxfId="23">
  <autoFilter ref="A1:E41"/>
  <sortState ref="A2:E41">
    <sortCondition ref="E1:E41"/>
  </sortState>
  <tableColumns count="5">
    <tableColumn id="1" name="Jcl Adı" dataDxfId="22"/>
    <tableColumn id="2" name="Hatalı Çalışma Sayısı _x000a_(KASIM  2024)" dataDxfId="21"/>
    <tableColumn id="3" name="Son Hatalı Çalışma Tarihi" dataDxfId="20"/>
    <tableColumn id="4" name="Hatalı Çalışma Sayısı _x000a_(2024 Yılı Toplam)" dataDxfId="19"/>
    <tableColumn id="5" name="Sorumlu Ekip" dataDxfId="18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id="6" name="Table6" displayName="Table6" ref="G1:H22" totalsRowShown="0" headerRowDxfId="17" dataDxfId="16" tableBorderDxfId="15">
  <autoFilter ref="G1:H22"/>
  <sortState ref="G2:H24">
    <sortCondition ref="G1:G24"/>
  </sortState>
  <tableColumns count="2">
    <tableColumn id="1" name="Ekip Adı" dataDxfId="14"/>
    <tableColumn id="2" name="Hatalı Jcl " dataDxfId="13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id="7" name="Table7" displayName="Table7" ref="A1:E14" totalsRowShown="0" headerRowDxfId="12" headerRowBorderDxfId="11" tableBorderDxfId="10">
  <autoFilter ref="A1:E14"/>
  <tableColumns count="5">
    <tableColumn id="1" name="Jcl Adı" dataDxfId="9"/>
    <tableColumn id="2" name="Hatalı Çalışma Sayısı _x000a_(KASIM  2024)" dataDxfId="8"/>
    <tableColumn id="3" name="Son Hatalı Çalışma Tarihi" dataDxfId="7"/>
    <tableColumn id="4" name="Hatalı Çalışma Sayısı _x000a_(2024 Yılı Toplam)" dataDxfId="6"/>
    <tableColumn id="5" name="Sorumlu Ekip" dataDxfId="5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id="8" name="Table8" displayName="Table8" ref="G1:H9" totalsRowShown="0" headerRowDxfId="4" dataDxfId="3" tableBorderDxfId="2">
  <autoFilter ref="G1:H9"/>
  <tableColumns count="2">
    <tableColumn id="1" name="Ekip Adı" dataDxfId="1"/>
    <tableColumn id="2" name="Hatalı Jcl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externalLinkPath" Target="file:///Z:\belgelerim\bcvfsyp\My%20Documents\SAO_Ana_Sistemler_Hatal&#305;_Biten_&#304;sler_Raporu_(Mart%202022).xlsx" TargetMode="Externa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H41"/>
  <x:sheetViews>
    <x:sheetView showGridLines="0" topLeftCell="A22" zoomScale="85" zoomScaleNormal="85" workbookViewId="0">
      <x:selection activeCell="I27" sqref="I27"/>
    </x:sheetView>
  </x:sheetViews>
  <x:sheetFormatPr defaultRowHeight="14.4" x14ac:dyDescent="0.3"/>
  <x:cols>
    <x:col min="1" max="1" width="19.44140625" customWidth="1"/>
    <x:col min="2" max="2" width="23.88671875" customWidth="1"/>
    <x:col min="3" max="3" width="24.6640625" customWidth="1"/>
    <x:col min="4" max="5" width="19.109375" customWidth="1"/>
    <x:col min="7" max="7" width="19.5546875" customWidth="1"/>
    <x:col min="8" max="8" width="17.109375" customWidth="1"/>
  </x:cols>
  <x:sheetData>
    <x:row r="1" spans="1:8" ht="28.8" x14ac:dyDescent="0.3">
      <x:c r="A1" s="3" t="s">
        <x:v>8</x:v>
      </x:c>
      <x:c r="B1" s="4" t="s">
        <x:v>63</x:v>
      </x:c>
      <x:c r="C1" s="4" t="s">
        <x:v>2</x:v>
      </x:c>
      <x:c r="D1" s="4" t="s">
        <x:v>23</x:v>
      </x:c>
      <x:c r="E1" s="4" t="s">
        <x:v>3</x:v>
      </x:c>
      <x:c r="G1" s="16" t="s">
        <x:v>5</x:v>
      </x:c>
      <x:c r="H1" s="16" t="s">
        <x:v>6</x:v>
      </x:c>
    </x:row>
    <x:row r="2" spans="1:8" x14ac:dyDescent="0.3">
      <x:c r="A2" s="5" t="s">
        <x:v>32</x:v>
      </x:c>
      <x:c r="B2" s="2">
        <x:v>776</x:v>
      </x:c>
      <x:c r="C2" s="6">
        <x:v>45625</x:v>
      </x:c>
      <x:c r="D2" s="2">
        <x:v>815</x:v>
      </x:c>
      <x:c r="E2" s="2" t="s">
        <x:v>64</x:v>
      </x:c>
      <x:c r="G2" s="17" t="s">
        <x:v>4</x:v>
      </x:c>
      <x:c r="H2" s="17">
        <x:f t="shared" ref="H2:H17" si="0">COUNTIF($E$2:$E$52,G2)</x:f>
        <x:v>11</x:v>
      </x:c>
    </x:row>
    <x:row r="3" spans="1:8" x14ac:dyDescent="0.3">
      <x:c r="A3" s="5" t="s">
        <x:v>33</x:v>
      </x:c>
      <x:c r="B3" s="2">
        <x:v>31</x:v>
      </x:c>
      <x:c r="C3" s="6">
        <x:v>45625</x:v>
      </x:c>
      <x:c r="D3" s="2">
        <x:v>36</x:v>
      </x:c>
      <x:c r="E3" s="2" t="s">
        <x:v>4</x:v>
      </x:c>
      <x:c r="G3" s="17" t="s">
        <x:v>17</x:v>
      </x:c>
      <x:c r="H3" s="17">
        <x:f t="shared" si="0"/>
        <x:v>3</x:v>
      </x:c>
    </x:row>
    <x:row r="4" spans="1:8" x14ac:dyDescent="0.3">
      <x:c r="A4" s="5" t="s">
        <x:v>34</x:v>
      </x:c>
      <x:c r="B4" s="2">
        <x:v>29</x:v>
      </x:c>
      <x:c r="C4" s="6">
        <x:v>45624</x:v>
      </x:c>
      <x:c r="D4" s="2">
        <x:v>29</x:v>
      </x:c>
      <x:c r="E4" s="2" t="s">
        <x:v>24</x:v>
      </x:c>
      <x:c r="G4" s="17" t="s">
        <x:v>29</x:v>
      </x:c>
      <x:c r="H4" s="17">
        <x:f t="shared" si="0"/>
        <x:v>1</x:v>
      </x:c>
    </x:row>
    <x:row r="5" spans="1:8" x14ac:dyDescent="0.3">
      <x:c r="A5" s="5" t="s">
        <x:v>30</x:v>
      </x:c>
      <x:c r="B5" s="2">
        <x:v>27</x:v>
      </x:c>
      <x:c r="C5" s="6">
        <x:v>45625</x:v>
      </x:c>
      <x:c r="D5" s="2">
        <x:v>165</x:v>
      </x:c>
      <x:c r="E5" s="2" t="s">
        <x:v>4</x:v>
      </x:c>
      <x:c r="G5" s="17" t="s">
        <x:v>64</x:v>
      </x:c>
      <x:c r="H5" s="17">
        <x:f t="shared" si="0"/>
        <x:v>1</x:v>
      </x:c>
    </x:row>
    <x:row r="6" spans="1:8" x14ac:dyDescent="0.3">
      <x:c r="A6" s="5" t="s">
        <x:v>22</x:v>
      </x:c>
      <x:c r="B6" s="2">
        <x:v>25</x:v>
      </x:c>
      <x:c r="C6" s="6">
        <x:v>45621</x:v>
      </x:c>
      <x:c r="D6" s="2">
        <x:v>257</x:v>
      </x:c>
      <x:c r="E6" s="2" t="s">
        <x:v>4</x:v>
      </x:c>
      <x:c r="G6" s="17" t="s">
        <x:v>65</x:v>
      </x:c>
      <x:c r="H6" s="17">
        <x:f t="shared" si="0"/>
        <x:v>1</x:v>
      </x:c>
    </x:row>
    <x:row r="7" spans="1:8" x14ac:dyDescent="0.3">
      <x:c r="A7" s="30" t="s">
        <x:v>35</x:v>
      </x:c>
      <x:c r="B7" s="31">
        <x:v>24</x:v>
      </x:c>
      <x:c r="C7" s="32">
        <x:v>45625</x:v>
      </x:c>
      <x:c r="D7" s="31">
        <x:v>62</x:v>
      </x:c>
      <x:c r="E7" s="2" t="s">
        <x:v>4</x:v>
      </x:c>
      <x:c r="G7" s="17" t="s">
        <x:v>25</x:v>
      </x:c>
      <x:c r="H7" s="17">
        <x:f t="shared" si="0"/>
        <x:v>1</x:v>
      </x:c>
    </x:row>
    <x:row r="8" spans="1:8" x14ac:dyDescent="0.3">
      <x:c r="A8" s="5" t="s">
        <x:v>12</x:v>
      </x:c>
      <x:c r="B8" s="2">
        <x:v>24</x:v>
      </x:c>
      <x:c r="C8" s="6">
        <x:v>45625</x:v>
      </x:c>
      <x:c r="D8" s="2">
        <x:v>289</x:v>
      </x:c>
      <x:c r="E8" s="2" t="s">
        <x:v>13</x:v>
      </x:c>
      <x:c r="G8" s="17" t="s">
        <x:v>69</x:v>
      </x:c>
      <x:c r="H8" s="17">
        <x:f t="shared" si="0"/>
        <x:v>1</x:v>
      </x:c>
    </x:row>
    <x:row r="9" spans="1:8" x14ac:dyDescent="0.3">
      <x:c r="A9" s="5" t="s">
        <x:v>36</x:v>
      </x:c>
      <x:c r="B9" s="2">
        <x:v>20</x:v>
      </x:c>
      <x:c r="C9" s="6">
        <x:v>45614</x:v>
      </x:c>
      <x:c r="D9" s="2">
        <x:v>20</x:v>
      </x:c>
      <x:c r="E9" s="2" t="s">
        <x:v>13</x:v>
      </x:c>
      <x:c r="G9" s="17" t="s">
        <x:v>24</x:v>
      </x:c>
      <x:c r="H9" s="17">
        <x:f t="shared" si="0"/>
        <x:v>7</x:v>
      </x:c>
    </x:row>
    <x:row r="10" spans="1:8" x14ac:dyDescent="0.3">
      <x:c r="A10" s="30" t="s">
        <x:v>37</x:v>
      </x:c>
      <x:c r="B10" s="31">
        <x:v>18</x:v>
      </x:c>
      <x:c r="C10" s="32">
        <x:v>45623</x:v>
      </x:c>
      <x:c r="D10" s="31">
        <x:v>36</x:v>
      </x:c>
      <x:c r="E10" s="2" t="s">
        <x:v>4</x:v>
      </x:c>
      <x:c r="G10" s="17" t="s">
        <x:v>68</x:v>
      </x:c>
      <x:c r="H10" s="17">
        <x:f t="shared" si="0"/>
        <x:v>1</x:v>
      </x:c>
    </x:row>
    <x:row r="11" spans="1:8" x14ac:dyDescent="0.3">
      <x:c r="A11" s="30" t="s">
        <x:v>26</x:v>
      </x:c>
      <x:c r="B11" s="31">
        <x:v>17</x:v>
      </x:c>
      <x:c r="C11" s="32">
        <x:v>45623</x:v>
      </x:c>
      <x:c r="D11" s="31">
        <x:v>155</x:v>
      </x:c>
      <x:c r="E11" s="2" t="s">
        <x:v>18</x:v>
      </x:c>
      <x:c r="G11" s="17" t="s">
        <x:v>27</x:v>
      </x:c>
      <x:c r="H11" s="17">
        <x:f t="shared" si="0"/>
        <x:v>2</x:v>
      </x:c>
    </x:row>
    <x:row r="12" spans="1:8" x14ac:dyDescent="0.3">
      <x:c r="A12" s="7" t="s">
        <x:v>38</x:v>
      </x:c>
      <x:c r="B12" s="8">
        <x:v>17</x:v>
      </x:c>
      <x:c r="C12" s="9">
        <x:v>45623</x:v>
      </x:c>
      <x:c r="D12" s="8">
        <x:v>91</x:v>
      </x:c>
      <x:c r="E12" s="10" t="s">
        <x:v>19</x:v>
      </x:c>
      <x:c r="G12" s="17" t="s">
        <x:v>70</x:v>
      </x:c>
      <x:c r="H12" s="17">
        <x:f t="shared" si="0"/>
        <x:v>1</x:v>
      </x:c>
    </x:row>
    <x:row r="13" spans="1:8" x14ac:dyDescent="0.3">
      <x:c r="A13" s="23" t="s">
        <x:v>39</x:v>
      </x:c>
      <x:c r="B13" s="24">
        <x:v>16</x:v>
      </x:c>
      <x:c r="C13" s="25">
        <x:v>45602</x:v>
      </x:c>
      <x:c r="D13" s="24">
        <x:v>36</x:v>
      </x:c>
      <x:c r="E13" s="29" t="s">
        <x:v>13</x:v>
      </x:c>
      <x:c r="G13" s="17" t="s">
        <x:v>19</x:v>
      </x:c>
      <x:c r="H13" s="17">
        <x:f t="shared" si="0"/>
        <x:v>1</x:v>
      </x:c>
    </x:row>
    <x:row r="14" spans="1:8" x14ac:dyDescent="0.3">
      <x:c r="A14" s="5" t="s">
        <x:v>41</x:v>
      </x:c>
      <x:c r="B14" s="2">
        <x:v>16</x:v>
      </x:c>
      <x:c r="C14" s="6">
        <x:v>45607</x:v>
      </x:c>
      <x:c r="D14" s="2">
        <x:v>258</x:v>
      </x:c>
      <x:c r="E14" s="2" t="s">
        <x:v>65</x:v>
      </x:c>
      <x:c r="G14" s="17" t="s">
        <x:v>18</x:v>
      </x:c>
      <x:c r="H14" s="17">
        <x:f t="shared" si="0"/>
        <x:v>1</x:v>
      </x:c>
    </x:row>
    <x:row r="15" spans="1:8" x14ac:dyDescent="0.3">
      <x:c r="A15" s="30" t="s">
        <x:v>20</x:v>
      </x:c>
      <x:c r="B15" s="31">
        <x:v>14</x:v>
      </x:c>
      <x:c r="C15" s="32">
        <x:v>45625</x:v>
      </x:c>
      <x:c r="D15" s="31">
        <x:v>134</x:v>
      </x:c>
      <x:c r="E15" s="2" t="s">
        <x:v>13</x:v>
      </x:c>
      <x:c r="G15" s="17" t="s">
        <x:v>13</x:v>
      </x:c>
      <x:c r="H15" s="17">
        <x:f t="shared" si="0"/>
        <x:v>6</x:v>
      </x:c>
    </x:row>
    <x:row r="16" spans="1:8" x14ac:dyDescent="0.3">
      <x:c r="A16" s="30" t="s">
        <x:v>21</x:v>
      </x:c>
      <x:c r="B16" s="31">
        <x:v>14</x:v>
      </x:c>
      <x:c r="C16" s="32">
        <x:v>45621</x:v>
      </x:c>
      <x:c r="D16" s="31">
        <x:v>93</x:v>
      </x:c>
      <x:c r="E16" s="2" t="s">
        <x:v>24</x:v>
      </x:c>
      <x:c r="G16" s="17" t="s">
        <x:v>25</x:v>
      </x:c>
      <x:c r="H16" s="17">
        <x:f t="shared" si="0"/>
        <x:v>1</x:v>
      </x:c>
    </x:row>
    <x:row r="17" spans="1:8" x14ac:dyDescent="0.3">
      <x:c r="A17" s="5" t="s">
        <x:v>42</x:v>
      </x:c>
      <x:c r="B17" s="2">
        <x:v>14</x:v>
      </x:c>
      <x:c r="C17" s="6">
        <x:v>45610</x:v>
      </x:c>
      <x:c r="D17" s="2">
        <x:v>58</x:v>
      </x:c>
      <x:c r="E17" s="2" t="s">
        <x:v>17</x:v>
      </x:c>
      <x:c r="G17" s="17" t="s">
        <x:v>67</x:v>
      </x:c>
      <x:c r="H17" s="17">
        <x:f t="shared" si="0"/>
        <x:v>1</x:v>
      </x:c>
    </x:row>
    <x:row r="18" spans="1:8" x14ac:dyDescent="0.3">
      <x:c r="A18" s="30" t="s">
        <x:v>43</x:v>
      </x:c>
      <x:c r="B18" s="31">
        <x:v>14</x:v>
      </x:c>
      <x:c r="C18" s="32">
        <x:v>45616</x:v>
      </x:c>
      <x:c r="D18" s="31">
        <x:v>22</x:v>
      </x:c>
      <x:c r="E18" s="2" t="s">
        <x:v>4</x:v>
      </x:c>
      <x:c r="G18" s="17"/>
      <x:c r="H18" s="17">
        <x:f t="shared" ref="H18:H21" si="1">COUNTIF($E$2:$E$52,G18)</x:f>
        <x:v>0</x:v>
      </x:c>
    </x:row>
    <x:row r="19" spans="1:8" x14ac:dyDescent="0.3">
      <x:c r="A19" s="11" t="s">
        <x:v>44</x:v>
      </x:c>
      <x:c r="B19" s="10">
        <x:v>14</x:v>
      </x:c>
      <x:c r="C19" s="12">
        <x:v>45623</x:v>
      </x:c>
      <x:c r="D19" s="10">
        <x:v>61</x:v>
      </x:c>
      <x:c r="E19" s="10" t="s">
        <x:v>13</x:v>
      </x:c>
      <x:c r="G19" s="17"/>
      <x:c r="H19" s="17">
        <x:f>COUNTIF($E$2:$E$52,G19)</x:f>
        <x:v>0</x:v>
      </x:c>
    </x:row>
    <x:row r="20" spans="1:8" x14ac:dyDescent="0.3">
      <x:c r="A20" s="23" t="s">
        <x:v>45</x:v>
      </x:c>
      <x:c r="B20" s="24">
        <x:v>10</x:v>
      </x:c>
      <x:c r="C20" s="25">
        <x:v>45615</x:v>
      </x:c>
      <x:c r="D20" s="24">
        <x:v>10</x:v>
      </x:c>
      <x:c r="E20" s="10" t="s">
        <x:v>27</x:v>
      </x:c>
      <x:c r="G20" s="17"/>
      <x:c r="H20" s="17"/>
    </x:row>
    <x:row r="21" spans="1:8" x14ac:dyDescent="0.3">
      <x:c r="A21" s="23" t="s">
        <x:v>46</x:v>
      </x:c>
      <x:c r="B21" s="24">
        <x:v>10</x:v>
      </x:c>
      <x:c r="C21" s="25">
        <x:v>45625</x:v>
      </x:c>
      <x:c r="D21" s="24">
        <x:v>41</x:v>
      </x:c>
      <x:c r="E21" s="29" t="s">
        <x:v>66</x:v>
      </x:c>
      <x:c r="G21" s="17"/>
      <x:c r="H21" s="17">
        <x:f t="shared" si="1"/>
        <x:v>0</x:v>
      </x:c>
    </x:row>
    <x:row r="22" spans="1:8" x14ac:dyDescent="0.3">
      <x:c r="A22" s="7" t="s">
        <x:v>47</x:v>
      </x:c>
      <x:c r="B22" s="8">
        <x:v>10</x:v>
      </x:c>
      <x:c r="C22" s="9">
        <x:v>45610</x:v>
      </x:c>
      <x:c r="D22" s="8">
        <x:v>70</x:v>
      </x:c>
      <x:c r="E22" s="10" t="s">
        <x:v>29</x:v>
      </x:c>
      <x:c r="G22" s="18" t="s">
        <x:v>9</x:v>
      </x:c>
      <x:c r="H22" s="18">
        <x:f>SUBTOTAL(109,H2:H21)</x:f>
        <x:v>40</x:v>
      </x:c>
    </x:row>
    <x:row r="23" spans="1:8" x14ac:dyDescent="0.3">
      <x:c r="A23" s="23" t="s">
        <x:v>48</x:v>
      </x:c>
      <x:c r="B23" s="24">
        <x:v>10</x:v>
      </x:c>
      <x:c r="C23" s="25">
        <x:v>45624</x:v>
      </x:c>
      <x:c r="D23" s="24">
        <x:v>50</x:v>
      </x:c>
      <x:c r="E23" s="10" t="s">
        <x:v>67</x:v>
      </x:c>
    </x:row>
    <x:row r="24" spans="1:8" x14ac:dyDescent="0.3">
      <x:c r="A24" s="13" t="s">
        <x:v>31</x:v>
      </x:c>
      <x:c r="B24" s="14">
        <x:v>9</x:v>
      </x:c>
      <x:c r="C24" s="15">
        <x:v>45625</x:v>
      </x:c>
      <x:c r="D24" s="14">
        <x:v>75</x:v>
      </x:c>
      <x:c r="E24" s="2" t="s">
        <x:v>4</x:v>
      </x:c>
    </x:row>
    <x:row r="25" spans="1:8" x14ac:dyDescent="0.3">
      <x:c r="A25" s="7" t="s">
        <x:v>50</x:v>
      </x:c>
      <x:c r="B25" s="8">
        <x:v>9</x:v>
      </x:c>
      <x:c r="C25" s="9">
        <x:v>45625</x:v>
      </x:c>
      <x:c r="D25" s="8">
        <x:v>25</x:v>
      </x:c>
      <x:c r="E25" s="2" t="s">
        <x:v>4</x:v>
      </x:c>
    </x:row>
    <x:row r="26" spans="1:8" x14ac:dyDescent="0.3">
      <x:c r="A26" s="7" t="s">
        <x:v>51</x:v>
      </x:c>
      <x:c r="B26" s="8">
        <x:v>9</x:v>
      </x:c>
      <x:c r="C26" s="9">
        <x:v>45621</x:v>
      </x:c>
      <x:c r="D26" s="8">
        <x:v>14</x:v>
      </x:c>
      <x:c r="E26" s="2" t="s">
        <x:v>24</x:v>
      </x:c>
    </x:row>
    <x:row r="27" spans="1:8" x14ac:dyDescent="0.3">
      <x:c r="A27" s="7" t="s">
        <x:v>52</x:v>
      </x:c>
      <x:c r="B27" s="8">
        <x:v>9</x:v>
      </x:c>
      <x:c r="C27" s="9">
        <x:v>45608</x:v>
      </x:c>
      <x:c r="D27" s="8">
        <x:v>53</x:v>
      </x:c>
      <x:c r="E27" s="10" t="s">
        <x:v>17</x:v>
      </x:c>
    </x:row>
    <x:row r="28" spans="1:8" x14ac:dyDescent="0.3">
      <x:c r="A28" s="7" t="s">
        <x:v>53</x:v>
      </x:c>
      <x:c r="B28" s="8">
        <x:v>8</x:v>
      </x:c>
      <x:c r="C28" s="9">
        <x:v>45625</x:v>
      </x:c>
      <x:c r="D28" s="8">
        <x:v>31</x:v>
      </x:c>
      <x:c r="E28" s="10" t="s">
        <x:v>27</x:v>
      </x:c>
    </x:row>
    <x:row r="29" spans="1:8" x14ac:dyDescent="0.3">
      <x:c r="A29" s="23" t="s">
        <x:v>54</x:v>
      </x:c>
      <x:c r="B29" s="24">
        <x:v>8</x:v>
      </x:c>
      <x:c r="C29" s="25">
        <x:v>45624</x:v>
      </x:c>
      <x:c r="D29" s="24">
        <x:v>21</x:v>
      </x:c>
      <x:c r="E29" s="10" t="s">
        <x:v>24</x:v>
      </x:c>
    </x:row>
    <x:row r="30" spans="1:8" x14ac:dyDescent="0.3">
      <x:c r="A30" s="7" t="s">
        <x:v>55</x:v>
      </x:c>
      <x:c r="B30" s="8">
        <x:v>8</x:v>
      </x:c>
      <x:c r="C30" s="9">
        <x:v>45624</x:v>
      </x:c>
      <x:c r="D30" s="8">
        <x:v>8</x:v>
      </x:c>
      <x:c r="E30" s="10" t="s">
        <x:v>68</x:v>
      </x:c>
    </x:row>
    <x:row r="31" spans="1:8" x14ac:dyDescent="0.3">
      <x:c r="A31" s="7" t="s">
        <x:v>56</x:v>
      </x:c>
      <x:c r="B31" s="8">
        <x:v>8</x:v>
      </x:c>
      <x:c r="C31" s="9">
        <x:v>45612</x:v>
      </x:c>
      <x:c r="D31" s="8">
        <x:v>13</x:v>
      </x:c>
      <x:c r="E31" s="10" t="s">
        <x:v>24</x:v>
      </x:c>
    </x:row>
    <x:row r="32" spans="1:8" x14ac:dyDescent="0.3">
      <x:c r="A32" s="23" t="s">
        <x:v>57</x:v>
      </x:c>
      <x:c r="B32" s="24">
        <x:v>8</x:v>
      </x:c>
      <x:c r="C32" s="25">
        <x:v>45612</x:v>
      </x:c>
      <x:c r="D32" s="24">
        <x:v>39</x:v>
      </x:c>
      <x:c r="E32" s="10" t="s">
        <x:v>4</x:v>
      </x:c>
    </x:row>
    <x:row r="33" spans="1:5" x14ac:dyDescent="0.3">
      <x:c r="A33" s="7" t="s">
        <x:v>58</x:v>
      </x:c>
      <x:c r="B33" s="8">
        <x:v>8</x:v>
      </x:c>
      <x:c r="C33" s="9">
        <x:v>45614</x:v>
      </x:c>
      <x:c r="D33" s="8">
        <x:v>28</x:v>
      </x:c>
      <x:c r="E33" s="10" t="s">
        <x:v>13</x:v>
      </x:c>
    </x:row>
    <x:row r="34" spans="1:5" x14ac:dyDescent="0.3">
      <x:c r="A34" s="13" t="s">
        <x:v>59</x:v>
      </x:c>
      <x:c r="B34" s="14">
        <x:v>8</x:v>
      </x:c>
      <x:c r="C34" s="15">
        <x:v>45622</x:v>
      </x:c>
      <x:c r="D34" s="14">
        <x:v>8</x:v>
      </x:c>
      <x:c r="E34" s="2" t="s">
        <x:v>69</x:v>
      </x:c>
    </x:row>
    <x:row r="35" spans="1:5" x14ac:dyDescent="0.3">
      <x:c r="A35" s="7" t="s">
        <x:v>60</x:v>
      </x:c>
      <x:c r="B35" s="8">
        <x:v>7</x:v>
      </x:c>
      <x:c r="C35" s="9">
        <x:v>45616</x:v>
      </x:c>
      <x:c r="D35" s="8">
        <x:v>8</x:v>
      </x:c>
      <x:c r="E35" s="10" t="s">
        <x:v>70</x:v>
      </x:c>
    </x:row>
    <x:row r="36" spans="1:5" x14ac:dyDescent="0.3">
      <x:c r="A36" s="23" t="s">
        <x:v>28</x:v>
      </x:c>
      <x:c r="B36" s="24">
        <x:v>7</x:v>
      </x:c>
      <x:c r="C36" s="25">
        <x:v>45616</x:v>
      </x:c>
      <x:c r="D36" s="24">
        <x:v>27</x:v>
      </x:c>
      <x:c r="E36" s="10" t="s">
        <x:v>24</x:v>
      </x:c>
    </x:row>
    <x:row r="37" spans="1:5" x14ac:dyDescent="0.3">
      <x:c r="A37" s="26" t="s">
        <x:v>61</x:v>
      </x:c>
      <x:c r="B37" s="27">
        <x:v>7</x:v>
      </x:c>
      <x:c r="C37" s="28">
        <x:v>45600</x:v>
      </x:c>
      <x:c r="D37" s="27">
        <x:v>9</x:v>
      </x:c>
      <x:c r="E37" s="31" t="s">
        <x:v>25</x:v>
      </x:c>
    </x:row>
    <x:row r="38" spans="1:5" x14ac:dyDescent="0.3">
      <x:c r="A38" s="23" t="s">
        <x:v>31</x:v>
      </x:c>
      <x:c r="B38" s="24">
        <x:v>9</x:v>
      </x:c>
      <x:c r="C38" s="25">
        <x:v>45625</x:v>
      </x:c>
      <x:c r="D38" s="24">
        <x:v>75</x:v>
      </x:c>
      <x:c r="E38" s="10" t="s">
        <x:v>4</x:v>
      </x:c>
    </x:row>
    <x:row r="39" spans="1:5" x14ac:dyDescent="0.3">
      <x:c r="A39" s="23" t="s">
        <x:v>50</x:v>
      </x:c>
      <x:c r="B39" s="24">
        <x:v>9</x:v>
      </x:c>
      <x:c r="C39" s="25">
        <x:v>45625</x:v>
      </x:c>
      <x:c r="D39" s="24">
        <x:v>25</x:v>
      </x:c>
      <x:c r="E39" s="10" t="s">
        <x:v>4</x:v>
      </x:c>
    </x:row>
    <x:row r="40" spans="1:5" x14ac:dyDescent="0.3">
      <x:c r="A40" s="23" t="s">
        <x:v>51</x:v>
      </x:c>
      <x:c r="B40" s="24">
        <x:v>9</x:v>
      </x:c>
      <x:c r="C40" s="25">
        <x:v>45621</x:v>
      </x:c>
      <x:c r="D40" s="24">
        <x:v>14</x:v>
      </x:c>
      <x:c r="E40" s="10" t="s">
        <x:v>24</x:v>
      </x:c>
    </x:row>
    <x:row r="41" spans="1:5" x14ac:dyDescent="0.3">
      <x:c r="A41" s="7" t="s">
        <x:v>52</x:v>
      </x:c>
      <x:c r="B41" s="8">
        <x:v>9</x:v>
      </x:c>
      <x:c r="C41" s="9">
        <x:v>45608</x:v>
      </x:c>
      <x:c r="D41" s="8">
        <x:v>53</x:v>
      </x:c>
      <x:c r="E41" s="10" t="s">
        <x:v>17</x:v>
      </x:c>
    </x:row>
  </x:sheetData>
  <x:sortState ref="G2:H11">
    <x:sortCondition descending="1" ref="G2"/>
  </x:sortState>
  <x:dataConsolidate function="count" topLabels="1">
    <x:dataRefs count="1">
      <x:dataRef ref="E2:E52" sheet="Hatalı Isler Yazılım PROD" r:id="rId1"/>
    </x:dataRefs>
  </x:dataConsolidate>
  <x:pageMargins left="0.7" right="0.7" top="0.75" bottom="0.75" header="0.3" footer="0.3"/>
  <x:pageSetup paperSize="9" orientation="portrait" r:id="rId2"/>
  <x:headerFooter>
    <x:oddFooter>&amp;C&amp;"Times New Roman"&amp;8&amp;K00CCFF Ise Ozel</x:oddFooter>
  </x:headerFooter>
  <x:tableParts count="2">
    <x:tablePart r:id="rId3"/>
    <x:tablePart r:id="rId4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showGridLines="0" tabSelected="1" zoomScaleNormal="100" workbookViewId="0">
      <selection activeCell="G6" sqref="G6"/>
    </sheetView>
  </sheetViews>
  <sheetFormatPr defaultRowHeight="14.4" x14ac:dyDescent="0.3"/>
  <cols>
    <col min="1" max="1" width="19.44140625" customWidth="1"/>
    <col min="2" max="2" width="23.88671875" customWidth="1"/>
    <col min="3" max="3" width="24.44140625" customWidth="1"/>
    <col min="4" max="4" width="19.109375" customWidth="1"/>
    <col min="5" max="5" width="19.109375" style="1" customWidth="1"/>
    <col min="7" max="7" width="19.5546875" customWidth="1"/>
    <col min="8" max="8" width="17.109375" customWidth="1"/>
  </cols>
  <sheetData>
    <row r="1" spans="1:8" ht="28.8" x14ac:dyDescent="0.3">
      <c r="A1" s="20" t="s">
        <v>8</v>
      </c>
      <c r="B1" s="21" t="s">
        <v>63</v>
      </c>
      <c r="C1" s="21" t="s">
        <v>2</v>
      </c>
      <c r="D1" s="21" t="s">
        <v>23</v>
      </c>
      <c r="E1" s="22" t="s">
        <v>3</v>
      </c>
      <c r="G1" s="16" t="s">
        <v>5</v>
      </c>
      <c r="H1" s="16" t="s">
        <v>7</v>
      </c>
    </row>
    <row r="2" spans="1:8" x14ac:dyDescent="0.3">
      <c r="A2" s="7" t="s">
        <v>14</v>
      </c>
      <c r="B2" s="8">
        <v>1459</v>
      </c>
      <c r="C2" s="9">
        <v>45624</v>
      </c>
      <c r="D2" s="8">
        <v>11912</v>
      </c>
      <c r="E2" s="10" t="s">
        <v>11</v>
      </c>
      <c r="G2" s="17" t="s">
        <v>10</v>
      </c>
      <c r="H2" s="17">
        <f>COUNTIF($E$2:$E$48,G2)</f>
        <v>4</v>
      </c>
    </row>
    <row r="3" spans="1:8" x14ac:dyDescent="0.3">
      <c r="A3" s="7" t="s">
        <v>15</v>
      </c>
      <c r="B3" s="8">
        <v>27</v>
      </c>
      <c r="C3" s="9">
        <v>45625</v>
      </c>
      <c r="D3" s="8">
        <v>317</v>
      </c>
      <c r="E3" s="10" t="s">
        <v>10</v>
      </c>
      <c r="G3" s="17" t="s">
        <v>11</v>
      </c>
      <c r="H3" s="17">
        <f t="shared" ref="H3:H6" si="0">COUNTIF($E$2:$E$48,G3)</f>
        <v>4</v>
      </c>
    </row>
    <row r="4" spans="1:8" x14ac:dyDescent="0.3">
      <c r="A4" s="7" t="s">
        <v>0</v>
      </c>
      <c r="B4" s="8">
        <v>27</v>
      </c>
      <c r="C4" s="9">
        <v>45625</v>
      </c>
      <c r="D4" s="8">
        <v>317</v>
      </c>
      <c r="E4" s="10" t="s">
        <v>10</v>
      </c>
      <c r="G4" s="17"/>
      <c r="H4" s="17">
        <f t="shared" si="0"/>
        <v>0</v>
      </c>
    </row>
    <row r="5" spans="1:8" x14ac:dyDescent="0.3">
      <c r="A5" s="7" t="s">
        <v>16</v>
      </c>
      <c r="B5" s="8">
        <v>27</v>
      </c>
      <c r="C5" s="9">
        <v>45625</v>
      </c>
      <c r="D5" s="8">
        <v>318</v>
      </c>
      <c r="E5" s="10" t="s">
        <v>10</v>
      </c>
      <c r="G5" s="17"/>
      <c r="H5" s="17">
        <f t="shared" si="0"/>
        <v>0</v>
      </c>
    </row>
    <row r="6" spans="1:8" x14ac:dyDescent="0.3">
      <c r="A6" s="7" t="s">
        <v>40</v>
      </c>
      <c r="B6" s="8">
        <v>16</v>
      </c>
      <c r="C6" s="9">
        <v>45624</v>
      </c>
      <c r="D6" s="8">
        <v>97</v>
      </c>
      <c r="E6" s="10" t="s">
        <v>11</v>
      </c>
      <c r="G6" s="17"/>
      <c r="H6" s="17">
        <f t="shared" si="0"/>
        <v>0</v>
      </c>
    </row>
    <row r="7" spans="1:8" x14ac:dyDescent="0.3">
      <c r="A7" s="7" t="s">
        <v>1</v>
      </c>
      <c r="B7" s="8">
        <v>10</v>
      </c>
      <c r="C7" s="9">
        <v>45625</v>
      </c>
      <c r="D7" s="8">
        <v>153</v>
      </c>
      <c r="E7" s="10" t="s">
        <v>10</v>
      </c>
      <c r="G7" s="17"/>
      <c r="H7" s="17"/>
    </row>
    <row r="8" spans="1:8" x14ac:dyDescent="0.3">
      <c r="A8" s="5" t="s">
        <v>49</v>
      </c>
      <c r="B8" s="2">
        <v>9</v>
      </c>
      <c r="C8" s="6">
        <v>45619</v>
      </c>
      <c r="D8" s="2">
        <v>48</v>
      </c>
      <c r="E8" s="10" t="s">
        <v>11</v>
      </c>
      <c r="G8" s="17"/>
      <c r="H8" s="17"/>
    </row>
    <row r="9" spans="1:8" x14ac:dyDescent="0.3">
      <c r="A9" s="7" t="s">
        <v>62</v>
      </c>
      <c r="B9" s="8">
        <v>4</v>
      </c>
      <c r="C9" s="9">
        <v>45597</v>
      </c>
      <c r="D9" s="8">
        <v>25</v>
      </c>
      <c r="E9" s="10" t="s">
        <v>11</v>
      </c>
      <c r="G9" s="18" t="s">
        <v>9</v>
      </c>
      <c r="H9" s="18">
        <f>SUM(H2:H8)</f>
        <v>8</v>
      </c>
    </row>
    <row r="10" spans="1:8" x14ac:dyDescent="0.3">
      <c r="A10" s="7"/>
      <c r="B10" s="8"/>
      <c r="C10" s="9"/>
      <c r="D10" s="8"/>
      <c r="E10" s="10"/>
    </row>
    <row r="11" spans="1:8" x14ac:dyDescent="0.3">
      <c r="A11" s="7"/>
      <c r="B11" s="8"/>
      <c r="C11" s="9"/>
      <c r="D11" s="8"/>
      <c r="E11" s="19"/>
    </row>
    <row r="12" spans="1:8" x14ac:dyDescent="0.3">
      <c r="A12" s="7"/>
      <c r="B12" s="8"/>
      <c r="C12" s="9"/>
      <c r="D12" s="8"/>
      <c r="E12" s="10"/>
    </row>
    <row r="13" spans="1:8" x14ac:dyDescent="0.3">
      <c r="A13" s="7"/>
      <c r="B13" s="8"/>
      <c r="C13" s="9"/>
      <c r="D13" s="8"/>
      <c r="E13" s="10"/>
    </row>
    <row r="14" spans="1:8" x14ac:dyDescent="0.3">
      <c r="A14" s="13"/>
      <c r="B14" s="14"/>
      <c r="C14" s="15"/>
      <c r="D14" s="14"/>
      <c r="E14" s="2"/>
    </row>
    <row r="15" spans="1:8" x14ac:dyDescent="0.3">
      <c r="E15"/>
    </row>
    <row r="16" spans="1:8" x14ac:dyDescent="0.3">
      <c r="E16"/>
    </row>
    <row r="17" spans="5:5" x14ac:dyDescent="0.3">
      <c r="E17"/>
    </row>
    <row r="18" spans="5:5" x14ac:dyDescent="0.3">
      <c r="E18"/>
    </row>
    <row r="19" spans="5:5" x14ac:dyDescent="0.3">
      <c r="E19"/>
    </row>
    <row r="20" spans="5:5" x14ac:dyDescent="0.3">
      <c r="E20"/>
    </row>
    <row r="21" spans="5:5" x14ac:dyDescent="0.3">
      <c r="E21"/>
    </row>
    <row r="22" spans="5:5" x14ac:dyDescent="0.3">
      <c r="E22"/>
    </row>
    <row r="23" spans="5:5" x14ac:dyDescent="0.3">
      <c r="E23"/>
    </row>
    <row r="24" spans="5:5" x14ac:dyDescent="0.3">
      <c r="E24"/>
    </row>
    <row r="25" spans="5:5" x14ac:dyDescent="0.3">
      <c r="E25"/>
    </row>
    <row r="26" spans="5:5" x14ac:dyDescent="0.3">
      <c r="E26"/>
    </row>
    <row r="27" spans="5:5" x14ac:dyDescent="0.3">
      <c r="E27"/>
    </row>
    <row r="28" spans="5:5" x14ac:dyDescent="0.3">
      <c r="E28"/>
    </row>
    <row r="29" spans="5:5" x14ac:dyDescent="0.3">
      <c r="E29"/>
    </row>
    <row r="30" spans="5:5" x14ac:dyDescent="0.3">
      <c r="E30"/>
    </row>
    <row r="31" spans="5:5" x14ac:dyDescent="0.3">
      <c r="E31"/>
    </row>
    <row r="32" spans="5:5" x14ac:dyDescent="0.3">
      <c r="E32"/>
    </row>
    <row r="33" spans="5:5" x14ac:dyDescent="0.3">
      <c r="E33"/>
    </row>
    <row r="34" spans="5:5" x14ac:dyDescent="0.3">
      <c r="E34"/>
    </row>
    <row r="35" spans="5:5" x14ac:dyDescent="0.3">
      <c r="E35"/>
    </row>
    <row r="36" spans="5:5" x14ac:dyDescent="0.3">
      <c r="E36"/>
    </row>
    <row r="37" spans="5:5" x14ac:dyDescent="0.3">
      <c r="E37"/>
    </row>
    <row r="38" spans="5:5" x14ac:dyDescent="0.3">
      <c r="E38"/>
    </row>
    <row r="39" spans="5:5" x14ac:dyDescent="0.3">
      <c r="E39"/>
    </row>
    <row r="40" spans="5:5" x14ac:dyDescent="0.3">
      <c r="E40"/>
    </row>
    <row r="41" spans="5:5" x14ac:dyDescent="0.3">
      <c r="E41"/>
    </row>
    <row r="42" spans="5:5" x14ac:dyDescent="0.3">
      <c r="E42"/>
    </row>
    <row r="43" spans="5:5" x14ac:dyDescent="0.3">
      <c r="E43"/>
    </row>
    <row r="44" spans="5:5" x14ac:dyDescent="0.3">
      <c r="E44"/>
    </row>
    <row r="45" spans="5:5" x14ac:dyDescent="0.3">
      <c r="E45"/>
    </row>
    <row r="46" spans="5:5" x14ac:dyDescent="0.3">
      <c r="E46"/>
    </row>
  </sheetData>
  <pageMargins left="0.7" right="0.7" top="0.75" bottom="0.75" header="0.3" footer="0.3"/>
  <pageSetup paperSize="9" orientation="portrait" r:id="rId1"/>
  <headerFooter scaleWithDoc="0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XMLData TextToDisplay="RightsWATCHMark">2|HALKBANK-GENEL-KURUM ICI|{00000000-0000-0000-0000-000000000000}</XMLData>
</file>

<file path=customXml/item2.xml><?xml version="1.0" encoding="utf-8"?>
<XMLData TextToDisplay="%DOCUMENTGUID%">{00000000-0000-0000-0000-000000000000}</XMLData>
</file>

<file path=customXml/item3.xml><?xml version="1.0" encoding="utf-8"?>
<XMLData TextToDisplay="%CLASSIFICATIONDATETIME%">13:12 25/04/2022</XMLData>
</file>

<file path=customXml/itemProps1.xml><?xml version="1.0" encoding="utf-8"?>
<ds:datastoreItem xmlns:ds="http://schemas.openxmlformats.org/officeDocument/2006/customXml" ds:itemID="{B2595B28-FE10-4A69-9C54-43799ACD046D}">
  <ds:schemaRefs/>
</ds:datastoreItem>
</file>

<file path=customXml/itemProps2.xml><?xml version="1.0" encoding="utf-8"?>
<ds:datastoreItem xmlns:ds="http://schemas.openxmlformats.org/officeDocument/2006/customXml" ds:itemID="{5211888C-1564-4D75-A47E-6B27844ED379}">
  <ds:schemaRefs/>
</ds:datastoreItem>
</file>

<file path=customXml/itemProps3.xml><?xml version="1.0" encoding="utf-8"?>
<ds:datastoreItem xmlns:ds="http://schemas.openxmlformats.org/officeDocument/2006/customXml" ds:itemID="{099453D9-06BA-4AC8-BB92-68922C60E1F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Hatalı Isler Yazılım PROD</vt:lpstr>
      <vt:lpstr>Hatalı Isler AYDB PROD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2024-12-02T14:04:58Z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RightsWATCHMark">
    <vt:lpwstr>2|HALKBANK-GENEL-KURUM ICI|{00000000-0000-0000-0000-000000000000}</vt:lpwstr>
  </op:property>
  <op:property fmtid="{D5CDD505-2E9C-101B-9397-08002B2CF9AE}" pid="3" name="Excel_AddedWatermark_PropertyName">
    <vt:lpwstr/>
  </op:property>
  <op:property fmtid="{D5CDD505-2E9C-101B-9397-08002B2CF9AE}" pid="4" name="VeriketClassification">
    <vt:lpwstr>75e0c5f8-d770-42c4-b03c-c72de4749366</vt:lpwstr>
  </op:property>
  <op:property fmtid="{D5CDD505-2E9C-101B-9397-08002B2CF9AE}" pid="5" name="DetectedPolicyPropertyName">
    <vt:lpwstr/>
  </op:property>
  <op:property fmtid="{D5CDD505-2E9C-101B-9397-08002B2CF9AE}" pid="6" name="DetectedKeywordsPropertyName">
    <vt:lpwstr/>
  </op:property>
  <op:property fmtid="{D5CDD505-2E9C-101B-9397-08002B2CF9AE}" pid="7" name="SensitivityPropertyName">
    <vt:lpwstr>3265DAC8-E08B-44A1-BADC-2164496259F8</vt:lpwstr>
  </op:property>
  <op:property fmtid="{D5CDD505-2E9C-101B-9397-08002B2CF9AE}" pid="8" name="SensitivityPersonalDatasPropertyName">
    <vt:lpwstr/>
  </op:property>
  <op:property fmtid="{D5CDD505-2E9C-101B-9397-08002B2CF9AE}" pid="9" name="SensitivityApprovedContentPropertyName">
    <vt:lpwstr/>
  </op:property>
  <op:property fmtid="{D5CDD505-2E9C-101B-9397-08002B2CF9AE}" pid="10" name="SensitivityCanExportContentPropertyName">
    <vt:lpwstr/>
  </op:property>
  <op:property fmtid="{D5CDD505-2E9C-101B-9397-08002B2CF9AE}" pid="11" name="SensitivityDataRetentionPeriodPropertyName">
    <vt:lpwstr/>
  </op:property>
</op:Properties>
</file>