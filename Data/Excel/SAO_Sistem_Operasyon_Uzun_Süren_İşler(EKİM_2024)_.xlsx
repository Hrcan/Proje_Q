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6" rupBuild="24332"/>
  <workbookPr filterPrivacy="1"/>
  <xr:revisionPtr revIDLastSave="0" documentId="13_ncr:1_{DA32998F-8025-4924-8D9D-EF26833B76FC}" xr6:coauthVersionLast="47" xr6:coauthVersionMax="47" xr10:uidLastSave="{00000000-0000-0000-0000-000000000000}"/>
  <bookViews>
    <workbookView xWindow="-16320" yWindow="-6840" windowWidth="16440" windowHeight="28440" xr2:uid="{00000000-000D-0000-FFFF-FFFF00000000}"/>
  </bookViews>
  <sheets>
    <sheet name="Mesai Saatleri  " sheetId="4" r:id="rId1"/>
    <sheet name=" Tüm Gün Yazılım" sheetId="5" r:id="rId2"/>
    <sheet name="Tüm Gün AnaSistemler" sheetId="7" r:id="rId3"/>
  </sheets>
  <definedNames>
    <definedName name="_xlnm._FilterDatabase" localSheetId="1" hidden="1">' Tüm Gün Yazılım'!$A$1:$D$14</definedName>
    <definedName name="_xlnm._FilterDatabase" localSheetId="0" hidden="1">'Mesai Saatleri  '!$F$1:$G$19</definedName>
    <definedName name="_xlnm._FilterDatabase" localSheetId="2" hidden="1">'Tüm Gün AnaSistemler'!$A$1:$D$19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" i="5"/>
  <c r="G6" i="7"/>
  <c r="G2" i="7"/>
  <c r="G3" i="7"/>
  <c r="G4" i="7"/>
  <c r="G5" i="7"/>
  <c r="G15" i="4"/>
  <c r="G16" i="4"/>
  <c r="G20" i="5" l="1"/>
  <c r="G18" i="4" l="1"/>
  <c r="G6" i="4" l="1"/>
  <c r="G5" i="4"/>
  <c r="G4" i="4"/>
  <c r="G3" i="4"/>
  <c r="G8" i="4"/>
  <c r="G9" i="4"/>
  <c r="G11" i="4"/>
  <c r="G7" i="4"/>
  <c r="G13" i="4"/>
  <c r="G2" i="4"/>
  <c r="G12" i="4"/>
  <c r="G10" i="4"/>
  <c r="G17" i="4"/>
  <c r="G7" i="7" l="1"/>
  <c r="G8" i="7"/>
  <c r="G9" i="7"/>
  <c r="G10" i="7"/>
  <c r="G11" i="7"/>
  <c r="G12" i="7"/>
  <c r="G13" i="7"/>
  <c r="G14" i="7"/>
  <c r="G15" i="7"/>
  <c r="G16" i="7" l="1"/>
  <c r="G19" i="4" l="1"/>
</calcChain>
</file>

<file path=xl/sharedStrings.xml><?xml version="1.0" encoding="utf-8"?>
<sst xmlns="http://schemas.openxmlformats.org/spreadsheetml/2006/main" count="244" uniqueCount="116">
  <si>
    <t>Sorumlu Ekip</t>
  </si>
  <si>
    <t>YGDB012</t>
  </si>
  <si>
    <t>YGDB051</t>
  </si>
  <si>
    <t>YGDB054</t>
  </si>
  <si>
    <t>Ekip Adı</t>
  </si>
  <si>
    <t>Jcl Adı</t>
  </si>
  <si>
    <t>PKRBU435</t>
  </si>
  <si>
    <t>PKRBU522</t>
  </si>
  <si>
    <t>PIZLG547</t>
  </si>
  <si>
    <t>PCRBU342</t>
  </si>
  <si>
    <t>PDVZG005</t>
  </si>
  <si>
    <t>YGDB055</t>
  </si>
  <si>
    <t>YGDB052</t>
  </si>
  <si>
    <t>YGDB041</t>
  </si>
  <si>
    <t>YGDB075</t>
  </si>
  <si>
    <t xml:space="preserve">Jcl </t>
  </si>
  <si>
    <t>AnaSistemlerVTS</t>
  </si>
  <si>
    <t>AnaSistemlerSMS</t>
  </si>
  <si>
    <t>AnaSistemlerTIS</t>
  </si>
  <si>
    <t>AnaSistemlerISS</t>
  </si>
  <si>
    <t>YGDB092</t>
  </si>
  <si>
    <t>Mesai Saatlerinde Toplam Çalışma Sayısı (Adet)</t>
  </si>
  <si>
    <t>Mesai Saatlerinde Toplam Çalışma Süresi (Dakika)</t>
  </si>
  <si>
    <t>Tüm Gün Toplam Çalışma Sayısı (Adet)</t>
  </si>
  <si>
    <t>Tüm Gün Toplam Çalışma Süresi (Dakika)</t>
  </si>
  <si>
    <t>PVDSC420</t>
  </si>
  <si>
    <t>Toplam</t>
  </si>
  <si>
    <t>PICOPY4</t>
  </si>
  <si>
    <t>PICOPY1</t>
  </si>
  <si>
    <t>PICOPY3</t>
  </si>
  <si>
    <t>PICOPY2</t>
  </si>
  <si>
    <t>MAG0VSAM</t>
  </si>
  <si>
    <t>PACKPCO1</t>
  </si>
  <si>
    <t>MAG1VSAM</t>
  </si>
  <si>
    <t>MAG2VSAM</t>
  </si>
  <si>
    <t>CPASUM12</t>
  </si>
  <si>
    <t>MAG4VSAM</t>
  </si>
  <si>
    <t>CPASUM11</t>
  </si>
  <si>
    <t>PACKPCO2</t>
  </si>
  <si>
    <t>MAG3VSAM</t>
  </si>
  <si>
    <t>MAG5VSAM</t>
  </si>
  <si>
    <t>BACKOUTP</t>
  </si>
  <si>
    <t>PMREI283</t>
  </si>
  <si>
    <t>PMZNI201</t>
  </si>
  <si>
    <t>PKRBU560</t>
  </si>
  <si>
    <t>POPGG001</t>
  </si>
  <si>
    <t>YGDB094</t>
  </si>
  <si>
    <t>YGDB011</t>
  </si>
  <si>
    <t>PMREK313</t>
  </si>
  <si>
    <t>CPAWLC12</t>
  </si>
  <si>
    <t>CPAWLC11</t>
  </si>
  <si>
    <t>YGDB072</t>
  </si>
  <si>
    <t>PBLKI112</t>
  </si>
  <si>
    <t>PVDSG358</t>
  </si>
  <si>
    <t>LOADPSM2</t>
  </si>
  <si>
    <t>PCRBA109</t>
  </si>
  <si>
    <t>PVDSC358</t>
  </si>
  <si>
    <t>PVDLG318</t>
  </si>
  <si>
    <t>REPROP1D</t>
  </si>
  <si>
    <t>P2SMFP1L</t>
  </si>
  <si>
    <t>P2SMFP1R</t>
  </si>
  <si>
    <t>PVDSE329</t>
  </si>
  <si>
    <t>PMZNG120</t>
  </si>
  <si>
    <t>PVDSF420</t>
  </si>
  <si>
    <t>LOADPSM1</t>
  </si>
  <si>
    <t>P2SMFP2R</t>
  </si>
  <si>
    <t>PKPBU001</t>
  </si>
  <si>
    <t>PKRBU033</t>
  </si>
  <si>
    <t>PMZNG013</t>
  </si>
  <si>
    <t>PKRBU122</t>
  </si>
  <si>
    <t>PKRBL127</t>
  </si>
  <si>
    <t>PMHSI305</t>
  </si>
  <si>
    <t>PMZNG016</t>
  </si>
  <si>
    <t>PPOLG055</t>
  </si>
  <si>
    <t>PIZLG018</t>
  </si>
  <si>
    <t>PWO1A121</t>
  </si>
  <si>
    <t>PICOPY5</t>
  </si>
  <si>
    <t>PICOPY6</t>
  </si>
  <si>
    <t>PACKPCO3</t>
  </si>
  <si>
    <t>PACKPCO4</t>
  </si>
  <si>
    <t>YGDB034</t>
  </si>
  <si>
    <t>YGDB105</t>
  </si>
  <si>
    <t>PKRBG668</t>
  </si>
  <si>
    <t>PFLSG013</t>
  </si>
  <si>
    <t>YGDB063</t>
  </si>
  <si>
    <t>PMREI238</t>
  </si>
  <si>
    <t>PACKPCO5</t>
  </si>
  <si>
    <t>PKRBL128</t>
  </si>
  <si>
    <t>PKOPI045</t>
  </si>
  <si>
    <t>YGDB053</t>
  </si>
  <si>
    <t>PVDSK360</t>
  </si>
  <si>
    <t>PVDSK358</t>
  </si>
  <si>
    <t>PVDSE420</t>
  </si>
  <si>
    <t>PCRMU045</t>
  </si>
  <si>
    <t>PCEKI255</t>
  </si>
  <si>
    <t>PACKPCOM</t>
  </si>
  <si>
    <t>YGDB044</t>
  </si>
  <si>
    <t>PKURD156</t>
  </si>
  <si>
    <t>PBKBI465</t>
  </si>
  <si>
    <t>PVDLG413</t>
  </si>
  <si>
    <t>PVDSI797</t>
  </si>
  <si>
    <t>PVDSI685</t>
  </si>
  <si>
    <t>PMREG265</t>
  </si>
  <si>
    <t>PMHSG307</t>
  </si>
  <si>
    <t>YGDB042</t>
  </si>
  <si>
    <t>TSFTPS2</t>
  </si>
  <si>
    <t>TSFTPS3</t>
  </si>
  <si>
    <t>PMHSI302</t>
  </si>
  <si>
    <t>PGBBU951</t>
  </si>
  <si>
    <t>PMKLN128</t>
  </si>
  <si>
    <t>PGBBJ010</t>
  </si>
  <si>
    <t>YGDB142</t>
  </si>
  <si>
    <t>P2SMFP2L</t>
  </si>
  <si>
    <t>PBCKCATL</t>
  </si>
  <si>
    <t>CIUUPDB</t>
  </si>
  <si>
    <t>MF Networking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</si>
</sst>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color rgb="FF000000"/>
      <name val="Calibri"/>
    </font>
    <font>
      <sz val="11"/>
      <color theme="1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6" xfId="0" applyFill="1" applyBorder="1"/>
    <xf numFmtId="0" fontId="0" fillId="0" borderId="0" xfId="0" applyFill="1" applyAlignment="1">
      <alignment horizont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1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0" fillId="0" borderId="6" xfId="0" applyFill="1" applyBorder="1" applyAlignment="1">
      <alignment horizontal="center" vertical="top"/>
    </xf>
    <xf numFmtId="0" fontId="0" fillId="0" borderId="6" xfId="0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 vertical="top"/>
    </xf>
    <xf numFmtId="0" fontId="0" fillId="0" borderId="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</cellXfs>
  <cellStyles count="1">
    <cellStyle name="Normal" xfId="0" builtinId="0"/>
  </cellStyles>
  <dxfs count="35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41" totalsRowShown="0" headerRowDxfId="28" dataDxfId="27" headerRowBorderDxfId="34" tableBorderDxfId="33">
  <sortState xmlns:xlrd2="http://schemas.microsoft.com/office/spreadsheetml/2017/richdata2" ref="A2:D41">
    <sortCondition ref="D1:D41"/>
  </sortState>
  <tableColumns count="4">
    <tableColumn id="1" xr3:uid="{00000000-0010-0000-0000-000001000000}" name="Jcl Adı" dataDxfId="32"/>
    <tableColumn id="2" xr3:uid="{00000000-0010-0000-0000-000002000000}" name="Mesai Saatlerinde Toplam Çalışma Sayısı (Adet)" dataDxfId="31"/>
    <tableColumn id="3" xr3:uid="{00000000-0010-0000-0000-000003000000}" name="Mesai Saatlerinde Toplam Çalışma Süresi (Dakika)" dataDxfId="30"/>
    <tableColumn id="4" xr3:uid="{00000000-0010-0000-0000-000004000000}" name="Sorumlu Ekip" dataDxfId="29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CDA2C-A604-4CDD-8D73-7DA7A75D7AB9}" name="Tablo1" displayName="Tablo1" ref="F1:G18" totalsRowShown="0" headerRowDxfId="23" dataDxfId="22" tableBorderDxfId="26">
  <autoFilter ref="F1:G18" xr:uid="{FC2CDA2C-A604-4CDD-8D73-7DA7A75D7AB9}"/>
  <tableColumns count="2">
    <tableColumn id="1" xr3:uid="{A4AFCE07-EEBD-4F72-92F9-97CD7094FAB5}" name="Ekip Adı" dataDxfId="25"/>
    <tableColumn id="2" xr3:uid="{6E19E543-20B3-4005-9A68-9C3AA968745A}" name="Jcl " dataDxfId="2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793450-417A-4BE7-A8EE-C8527B9DAC27}" name="Tablo5" displayName="Tablo5" ref="A1:D34" totalsRowShown="0" headerRowDxfId="1" dataDxfId="0" headerRowBorderDxfId="14" tableBorderDxfId="15" totalsRowBorderDxfId="13">
  <sortState xmlns:xlrd2="http://schemas.microsoft.com/office/spreadsheetml/2017/richdata2" ref="A2:D34">
    <sortCondition descending="1" ref="C1:C34"/>
  </sortState>
  <tableColumns count="4">
    <tableColumn id="1" xr3:uid="{56D9964D-2951-482C-A71C-EB2C5469855B}" name="Jcl Adı" dataDxfId="5"/>
    <tableColumn id="2" xr3:uid="{BE768A72-725B-40C6-8EE3-197542841FA5}" name="Tüm Gün Toplam Çalışma Sayısı (Adet)" dataDxfId="4"/>
    <tableColumn id="3" xr3:uid="{8E3BB9D5-4EE5-4E42-88F5-87F8C10AC3F1}" name="Tüm Gün Toplam Çalışma Süresi (Dakika)" dataDxfId="3"/>
    <tableColumn id="4" xr3:uid="{B9ECBCDC-E0BE-4EED-9E03-3CE35120300C}" name="Sorumlu Ekip" dataDxfId="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B1EE60-4D78-49C8-9F79-74640B864CE2}" name="Tablo4" displayName="Tablo4" ref="A1:D36" totalsRowShown="0" headerRowDxfId="16" dataDxfId="21" headerRowBorderDxfId="19" tableBorderDxfId="20" totalsRowBorderDxfId="18">
  <sortState xmlns:xlrd2="http://schemas.microsoft.com/office/spreadsheetml/2017/richdata2" ref="A2:D36">
    <sortCondition descending="1" ref="C1:C36"/>
  </sortState>
  <tableColumns count="4">
    <tableColumn id="1" xr3:uid="{527FB2F4-64DC-46AB-9C38-8A1C84FE44F9}" name="Jcl Adı" dataDxfId="8"/>
    <tableColumn id="2" xr3:uid="{568B938F-860B-4D0C-BD08-40A7BA255474}" name="Tüm Gün Toplam Çalışma Sayısı (Adet)" dataDxfId="7"/>
    <tableColumn id="3" xr3:uid="{AFA98CA1-6656-458A-9A93-37035948EAC4}" name="Tüm Gün Toplam Çalışma Süresi (Dakika)" dataDxfId="6"/>
    <tableColumn id="4" xr3:uid="{4084BF2A-C07E-465A-902B-5C7E6C106452}" name="Sorumlu Ekip" dataDxfId="1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Z:\belgelerim\bcvfsyp\My%20Documents\SAO_Ana_Sistemler_Hatal&#305;_Biten_&#304;sler_Raporu_(Mart%202022).xlsx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Z:\belgelerim\bcvfsyp\My%20Documents\SAO_Ana_Sistemler_Hatal&#305;_Biten_&#304;sler_Raporu_(Mart%202022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file:///Z:\belgelerim\bcvfsyp\My%20Documents\SAO_Ana_Sistemler_Hatal&#305;_Biten_&#304;sler_Raporu_(Mart%202022).xlsx" TargetMode="External"/></Relationships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G41"/>
  <x:sheetViews>
    <x:sheetView showGridLines="0" tabSelected="1" zoomScale="130" zoomScaleNormal="130" workbookViewId="0">
      <x:selection activeCell="B47" sqref="B47"/>
    </x:sheetView>
  </x:sheetViews>
  <x:sheetFormatPr defaultRowHeight="15" x14ac:dyDescent="0.25"/>
  <x:cols>
    <x:col min="1" max="1" width="19.42578125" customWidth="1"/>
    <x:col min="2" max="2" width="30.42578125" customWidth="1"/>
    <x:col min="3" max="3" width="27.42578125" customWidth="1"/>
    <x:col min="4" max="4" width="19.140625" customWidth="1"/>
    <x:col min="6" max="6" width="19.5703125" customWidth="1"/>
    <x:col min="7" max="7" width="17.140625" customWidth="1"/>
  </x:cols>
  <x:sheetData>
    <x:row r="1" spans="1:7" ht="51" customHeight="1" x14ac:dyDescent="0.25">
      <x:c r="A1" s="5" t="s">
        <x:v>5</x:v>
      </x:c>
      <x:c r="B1" s="6" t="s">
        <x:v>21</x:v>
      </x:c>
      <x:c r="C1" s="6" t="s">
        <x:v>22</x:v>
      </x:c>
      <x:c r="D1" s="7" t="s">
        <x:v>0</x:v>
      </x:c>
      <x:c r="F1" s="12" t="s">
        <x:v>4</x:v>
      </x:c>
      <x:c r="G1" s="12" t="s">
        <x:v>15</x:v>
      </x:c>
    </x:row>
    <x:row r="2" spans="1:7" x14ac:dyDescent="0.25">
      <x:c r="A2" s="8" t="s">
        <x:v>83</x:v>
      </x:c>
      <x:c r="B2" s="8">
        <x:v>17</x:v>
      </x:c>
      <x:c r="C2" s="8">
        <x:v>559</x:v>
      </x:c>
      <x:c r="D2" s="10" t="s">
        <x:v>47</x:v>
      </x:c>
      <x:c r="F2" s="2" t="s">
        <x:v>47</x:v>
      </x:c>
      <x:c r="G2" s="2">
        <x:f>COUNTIF($D$2:$D$61,F2)</x:f>
        <x:v>1</x:v>
      </x:c>
    </x:row>
    <x:row r="3" spans="1:7" x14ac:dyDescent="0.25">
      <x:c r="A3" s="8" t="s">
        <x:v>97</x:v>
      </x:c>
      <x:c r="B3" s="8">
        <x:v>792</x:v>
      </x:c>
      <x:c r="C3" s="8">
        <x:v>3225</x:v>
      </x:c>
      <x:c r="D3" s="9" t="s">
        <x:v>1</x:v>
      </x:c>
      <x:c r="F3" s="2" t="s">
        <x:v>1</x:v>
      </x:c>
      <x:c r="G3" s="2">
        <x:f>COUNTIF($D$2:$D$56,F3)</x:f>
        <x:v>5</x:v>
      </x:c>
    </x:row>
    <x:row r="4" spans="1:7" x14ac:dyDescent="0.25">
      <x:c r="A4" s="8" t="s">
        <x:v>43</x:v>
      </x:c>
      <x:c r="B4" s="8">
        <x:v>453</x:v>
      </x:c>
      <x:c r="C4" s="8">
        <x:v>698</x:v>
      </x:c>
      <x:c r="D4" s="9" t="s">
        <x:v>1</x:v>
      </x:c>
      <x:c r="F4" s="2" t="s">
        <x:v>13</x:v>
      </x:c>
      <x:c r="G4" s="2">
        <x:f>COUNTIF($D$2:$D$56,F4)</x:f>
        <x:v>2</x:v>
      </x:c>
    </x:row>
    <x:row r="5" spans="1:7" x14ac:dyDescent="0.25">
      <x:c r="A5" s="8" t="s">
        <x:v>62</x:v>
      </x:c>
      <x:c r="B5" s="8">
        <x:v>67</x:v>
      </x:c>
      <x:c r="C5" s="8">
        <x:v>574</x:v>
      </x:c>
      <x:c r="D5" s="10" t="s">
        <x:v>1</x:v>
      </x:c>
      <x:c r="F5" s="2" t="s">
        <x:v>104</x:v>
      </x:c>
      <x:c r="G5" s="2">
        <x:f>COUNTIF($D$2:$D$56,F5)</x:f>
        <x:v>1</x:v>
      </x:c>
    </x:row>
    <x:row r="6" spans="1:7" x14ac:dyDescent="0.25">
      <x:c r="A6" s="8" t="s">
        <x:v>107</x:v>
      </x:c>
      <x:c r="B6" s="8">
        <x:v>17</x:v>
      </x:c>
      <x:c r="C6" s="8">
        <x:v>416</x:v>
      </x:c>
      <x:c r="D6" s="10" t="s">
        <x:v>1</x:v>
      </x:c>
      <x:c r="F6" s="2" t="s">
        <x:v>2</x:v>
      </x:c>
      <x:c r="G6" s="2">
        <x:f>COUNTIF($D$2:$D$56,F6)</x:f>
        <x:v>1</x:v>
      </x:c>
    </x:row>
    <x:row r="7" spans="1:7" x14ac:dyDescent="0.25">
      <x:c r="A7" s="8" t="s">
        <x:v>103</x:v>
      </x:c>
      <x:c r="B7" s="8">
        <x:v>67</x:v>
      </x:c>
      <x:c r="C7" s="8">
        <x:v>410</x:v>
      </x:c>
      <x:c r="D7" s="10" t="s">
        <x:v>1</x:v>
      </x:c>
      <x:c r="F7" s="2" t="s">
        <x:v>3</x:v>
      </x:c>
      <x:c r="G7" s="2">
        <x:f>COUNTIF($D$2:$D$56,F7)</x:f>
        <x:v>1</x:v>
      </x:c>
    </x:row>
    <x:row r="8" spans="1:7" x14ac:dyDescent="0.25">
      <x:c r="A8" s="8" t="s">
        <x:v>61</x:v>
      </x:c>
      <x:c r="B8" s="8">
        <x:v>22</x:v>
      </x:c>
      <x:c r="C8" s="8">
        <x:v>804</x:v>
      </x:c>
      <x:c r="D8" s="9" t="s">
        <x:v>13</x:v>
      </x:c>
      <x:c r="F8" s="2" t="s">
        <x:v>11</x:v>
      </x:c>
      <x:c r="G8" s="2">
        <x:f>COUNTIF($D$2:$D$56,F8)</x:f>
        <x:v>4</x:v>
      </x:c>
    </x:row>
    <x:row r="9" spans="1:7" x14ac:dyDescent="0.25">
      <x:c r="A9" s="8" t="s">
        <x:v>9</x:v>
      </x:c>
      <x:c r="B9" s="8">
        <x:v>66</x:v>
      </x:c>
      <x:c r="C9" s="8">
        <x:v>367</x:v>
      </x:c>
      <x:c r="D9" s="10" t="s">
        <x:v>13</x:v>
      </x:c>
      <x:c r="F9" s="2" t="s">
        <x:v>51</x:v>
      </x:c>
      <x:c r="G9" s="2">
        <x:f>COUNTIF($D$2:$D$56,F9)</x:f>
        <x:v>1</x:v>
      </x:c>
    </x:row>
    <x:row r="10" spans="1:7" x14ac:dyDescent="0.25">
      <x:c r="A10" s="8" t="s">
        <x:v>57</x:v>
      </x:c>
      <x:c r="B10" s="8">
        <x:v>110</x:v>
      </x:c>
      <x:c r="C10" s="8">
        <x:v>557</x:v>
      </x:c>
      <x:c r="D10" s="10" t="s">
        <x:v>104</x:v>
      </x:c>
      <x:c r="F10" s="2" t="s">
        <x:v>14</x:v>
      </x:c>
      <x:c r="G10" s="2">
        <x:f>COUNTIF($D$2:$D$56,F10)</x:f>
        <x:v>1</x:v>
      </x:c>
    </x:row>
    <x:row r="11" spans="1:7" x14ac:dyDescent="0.25">
      <x:c r="A11" s="8" t="s">
        <x:v>7</x:v>
      </x:c>
      <x:c r="B11" s="8">
        <x:v>88</x:v>
      </x:c>
      <x:c r="C11" s="8">
        <x:v>1130</x:v>
      </x:c>
      <x:c r="D11" s="9" t="s">
        <x:v>2</x:v>
      </x:c>
      <x:c r="F11" s="2" t="s">
        <x:v>20</x:v>
      </x:c>
      <x:c r="G11" s="2">
        <x:f>COUNTIF($D$2:$D$56,F11)</x:f>
        <x:v>2</x:v>
      </x:c>
    </x:row>
    <x:row r="12" spans="1:7" x14ac:dyDescent="0.25">
      <x:c r="A12" s="8" t="s">
        <x:v>8</x:v>
      </x:c>
      <x:c r="B12" s="8">
        <x:v>330</x:v>
      </x:c>
      <x:c r="C12" s="8">
        <x:v>695</x:v>
      </x:c>
      <x:c r="D12" s="9" t="s">
        <x:v>3</x:v>
      </x:c>
      <x:c r="F12" s="2" t="s">
        <x:v>46</x:v>
      </x:c>
      <x:c r="G12" s="2">
        <x:f>COUNTIF($D$2:$D$56,F12)</x:f>
        <x:v>11</x:v>
      </x:c>
    </x:row>
    <x:row r="13" spans="1:7" x14ac:dyDescent="0.25">
      <x:c r="A13" s="8" t="s">
        <x:v>44</x:v>
      </x:c>
      <x:c r="B13" s="8">
        <x:v>387</x:v>
      </x:c>
      <x:c r="C13" s="8">
        <x:v>2800</x:v>
      </x:c>
      <x:c r="D13" s="9" t="s">
        <x:v>11</x:v>
      </x:c>
      <x:c r="F13" s="2" t="s">
        <x:v>111</x:v>
      </x:c>
      <x:c r="G13" s="2">
        <x:f>COUNTIF($D$2:$D$56,F13)</x:f>
        <x:v>1</x:v>
      </x:c>
    </x:row>
    <x:row r="14" spans="1:7" x14ac:dyDescent="0.25">
      <x:c r="A14" s="8" t="s">
        <x:v>82</x:v>
      </x:c>
      <x:c r="B14" s="8">
        <x:v>594</x:v>
      </x:c>
      <x:c r="C14" s="8">
        <x:v>2271</x:v>
      </x:c>
      <x:c r="D14" s="9" t="s">
        <x:v>11</x:v>
      </x:c>
      <x:c r="F14" s="2"/>
      <x:c r="G14" s="2">
        <x:v>0</x:v>
      </x:c>
    </x:row>
    <x:row r="15" spans="1:7" x14ac:dyDescent="0.25">
      <x:c r="A15" s="8" t="s">
        <x:v>6</x:v>
      </x:c>
      <x:c r="B15" s="8">
        <x:v>44</x:v>
      </x:c>
      <x:c r="C15" s="8">
        <x:v>1630</x:v>
      </x:c>
      <x:c r="D15" s="9" t="s">
        <x:v>11</x:v>
      </x:c>
      <x:c r="F15" s="2"/>
      <x:c r="G15" s="2">
        <x:f>COUNTIF($D$2:$D$41,F15)</x:f>
        <x:v>0</x:v>
      </x:c>
    </x:row>
    <x:row r="16" spans="1:7" x14ac:dyDescent="0.25">
      <x:c r="A16" s="8" t="s">
        <x:v>67</x:v>
      </x:c>
      <x:c r="B16" s="8">
        <x:v>22</x:v>
      </x:c>
      <x:c r="C16" s="8">
        <x:v>519</x:v>
      </x:c>
      <x:c r="D16" s="10" t="s">
        <x:v>11</x:v>
      </x:c>
      <x:c r="F16" s="2"/>
      <x:c r="G16" s="2">
        <x:f>COUNTIF($D$2:$D$41,F16)</x:f>
        <x:v>0</x:v>
      </x:c>
    </x:row>
    <x:row r="17" spans="1:7" x14ac:dyDescent="0.25">
      <x:c r="A17" s="8" t="s">
        <x:v>109</x:v>
      </x:c>
      <x:c r="B17" s="8">
        <x:v>22</x:v>
      </x:c>
      <x:c r="C17" s="8">
        <x:v>409</x:v>
      </x:c>
      <x:c r="D17" s="10" t="s">
        <x:v>51</x:v>
      </x:c>
      <x:c r="F17" s="2"/>
      <x:c r="G17" s="2">
        <x:f>COUNTIF($D$2:$D$25,F17)</x:f>
        <x:v>0</x:v>
      </x:c>
    </x:row>
    <x:row r="18" spans="1:7" x14ac:dyDescent="0.25">
      <x:c r="A18" s="8" t="s">
        <x:v>10</x:v>
      </x:c>
      <x:c r="B18" s="8">
        <x:v>990</x:v>
      </x:c>
      <x:c r="C18" s="8">
        <x:v>1163</x:v>
      </x:c>
      <x:c r="D18" s="9" t="s">
        <x:v>14</x:v>
      </x:c>
      <x:c r="F18" s="13"/>
      <x:c r="G18" s="13">
        <x:f>COUNTIF($D$2:$D$25,F18)</x:f>
        <x:v>0</x:v>
      </x:c>
    </x:row>
    <x:row r="19" spans="1:7" x14ac:dyDescent="0.25">
      <x:c r="A19" s="8" t="s">
        <x:v>108</x:v>
      </x:c>
      <x:c r="B19" s="8">
        <x:v>198</x:v>
      </x:c>
      <x:c r="C19" s="8">
        <x:v>411</x:v>
      </x:c>
      <x:c r="D19" s="10" t="s">
        <x:v>20</x:v>
      </x:c>
      <x:c r="F19" s="1" t="s">
        <x:v>26</x:v>
      </x:c>
      <x:c r="G19" s="2">
        <x:f>SUM(G2:G18)</x:f>
        <x:v>31</x:v>
      </x:c>
    </x:row>
    <x:row r="20" spans="1:7" x14ac:dyDescent="0.25">
      <x:c r="A20" s="8" t="s">
        <x:v>110</x:v>
      </x:c>
      <x:c r="B20" s="8">
        <x:v>194</x:v>
      </x:c>
      <x:c r="C20" s="8">
        <x:v>362</x:v>
      </x:c>
      <x:c r="D20" s="10" t="s">
        <x:v>20</x:v>
      </x:c>
    </x:row>
    <x:row r="21" spans="1:7" x14ac:dyDescent="0.25">
      <x:c r="A21" s="8" t="s">
        <x:v>42</x:v>
      </x:c>
      <x:c r="B21" s="8">
        <x:v>109</x:v>
      </x:c>
      <x:c r="C21" s="8">
        <x:v>2153</x:v>
      </x:c>
      <x:c r="D21" s="9" t="s">
        <x:v>46</x:v>
      </x:c>
    </x:row>
    <x:row r="22" spans="1:7" x14ac:dyDescent="0.25">
      <x:c r="A22" s="8" t="s">
        <x:v>25</x:v>
      </x:c>
      <x:c r="B22" s="8">
        <x:v>72</x:v>
      </x:c>
      <x:c r="C22" s="8">
        <x:v>1541</x:v>
      </x:c>
      <x:c r="D22" s="9" t="s">
        <x:v>46</x:v>
      </x:c>
    </x:row>
    <x:row r="23" spans="1:7" x14ac:dyDescent="0.25">
      <x:c r="A23" s="8" t="s">
        <x:v>53</x:v>
      </x:c>
      <x:c r="B23" s="8">
        <x:v>79</x:v>
      </x:c>
      <x:c r="C23" s="8">
        <x:v>1285</x:v>
      </x:c>
      <x:c r="D23" s="9" t="s">
        <x:v>46</x:v>
      </x:c>
    </x:row>
    <x:row r="24" spans="1:7" x14ac:dyDescent="0.25">
      <x:c r="A24" s="8" t="s">
        <x:v>52</x:v>
      </x:c>
      <x:c r="B24" s="8">
        <x:v>58</x:v>
      </x:c>
      <x:c r="C24" s="8">
        <x:v>1249</x:v>
      </x:c>
      <x:c r="D24" s="9" t="s">
        <x:v>46</x:v>
      </x:c>
    </x:row>
    <x:row r="25" spans="1:7" x14ac:dyDescent="0.25">
      <x:c r="A25" s="8" t="s">
        <x:v>56</x:v>
      </x:c>
      <x:c r="B25" s="8">
        <x:v>60</x:v>
      </x:c>
      <x:c r="C25" s="8">
        <x:v>1174</x:v>
      </x:c>
      <x:c r="D25" s="9" t="s">
        <x:v>46</x:v>
      </x:c>
    </x:row>
    <x:row r="26" spans="1:7" x14ac:dyDescent="0.25">
      <x:c r="A26" s="8" t="s">
        <x:v>63</x:v>
      </x:c>
      <x:c r="B26" s="8">
        <x:v>43</x:v>
      </x:c>
      <x:c r="C26" s="8">
        <x:v>951</x:v>
      </x:c>
      <x:c r="D26" s="9" t="s">
        <x:v>46</x:v>
      </x:c>
    </x:row>
    <x:row r="27" spans="1:7" x14ac:dyDescent="0.25">
      <x:c r="A27" s="8" t="s">
        <x:v>90</x:v>
      </x:c>
      <x:c r="B27" s="8">
        <x:v>29</x:v>
      </x:c>
      <x:c r="C27" s="8">
        <x:v>936</x:v>
      </x:c>
      <x:c r="D27" s="9" t="s">
        <x:v>46</x:v>
      </x:c>
    </x:row>
    <x:row r="28" spans="1:7" x14ac:dyDescent="0.25">
      <x:c r="A28" s="8" t="s">
        <x:v>85</x:v>
      </x:c>
      <x:c r="B28" s="8">
        <x:v>159</x:v>
      </x:c>
      <x:c r="C28" s="8">
        <x:v>815</x:v>
      </x:c>
      <x:c r="D28" s="9" t="s">
        <x:v>46</x:v>
      </x:c>
    </x:row>
    <x:row r="29" spans="1:7" x14ac:dyDescent="0.25">
      <x:c r="A29" s="8" t="s">
        <x:v>92</x:v>
      </x:c>
      <x:c r="B29" s="8">
        <x:v>29</x:v>
      </x:c>
      <x:c r="C29" s="8">
        <x:v>641</x:v>
      </x:c>
      <x:c r="D29" s="9" t="s">
        <x:v>46</x:v>
      </x:c>
    </x:row>
    <x:row r="30" spans="1:7" x14ac:dyDescent="0.25">
      <x:c r="A30" s="8" t="s">
        <x:v>102</x:v>
      </x:c>
      <x:c r="B30" s="8">
        <x:v>12</x:v>
      </x:c>
      <x:c r="C30" s="8">
        <x:v>460</x:v>
      </x:c>
      <x:c r="D30" s="10" t="s">
        <x:v>46</x:v>
      </x:c>
    </x:row>
    <x:row r="31" spans="1:7" x14ac:dyDescent="0.25">
      <x:c r="A31" s="8" t="s">
        <x:v>91</x:v>
      </x:c>
      <x:c r="B31" s="8">
        <x:v>43</x:v>
      </x:c>
      <x:c r="C31" s="8">
        <x:v>445</x:v>
      </x:c>
      <x:c r="D31" s="10" t="s">
        <x:v>46</x:v>
      </x:c>
    </x:row>
    <x:row r="32" spans="1:7" x14ac:dyDescent="0.25">
      <x:c r="A32" s="8" t="s">
        <x:v>45</x:v>
      </x:c>
      <x:c r="B32" s="8">
        <x:v>4863</x:v>
      </x:c>
      <x:c r="C32" s="8">
        <x:v>1556</x:v>
      </x:c>
      <x:c r="D32" s="9" t="s">
        <x:v>111</x:v>
      </x:c>
    </x:row>
    <x:row r="33" spans="1:4" x14ac:dyDescent="0.25">
      <x:c r="A33" s="8"/>
      <x:c r="B33" s="8"/>
      <x:c r="C33" s="8"/>
      <x:c r="D33" s="11"/>
    </x:row>
    <x:row r="34" spans="1:4" x14ac:dyDescent="0.25">
      <x:c r="A34" s="8"/>
      <x:c r="B34" s="8"/>
      <x:c r="C34" s="8"/>
      <x:c r="D34" s="9"/>
    </x:row>
    <x:row r="35" spans="1:4" x14ac:dyDescent="0.25">
      <x:c r="A35" s="8"/>
      <x:c r="B35" s="8"/>
      <x:c r="C35" s="8"/>
      <x:c r="D35" s="9"/>
    </x:row>
    <x:row r="36" spans="1:4" x14ac:dyDescent="0.25">
      <x:c r="A36" s="8"/>
      <x:c r="B36" s="8"/>
      <x:c r="C36" s="8"/>
      <x:c r="D36" s="9"/>
    </x:row>
    <x:row r="37" spans="1:4" x14ac:dyDescent="0.25">
      <x:c r="A37" s="8"/>
      <x:c r="B37" s="8"/>
      <x:c r="C37" s="8"/>
      <x:c r="D37" s="9"/>
    </x:row>
    <x:row r="38" spans="1:4" x14ac:dyDescent="0.25">
      <x:c r="A38" s="8"/>
      <x:c r="B38" s="8"/>
      <x:c r="C38" s="8"/>
      <x:c r="D38" s="9"/>
    </x:row>
    <x:row r="39" spans="1:4" x14ac:dyDescent="0.25">
      <x:c r="A39" s="8"/>
      <x:c r="B39" s="8"/>
      <x:c r="C39" s="8"/>
      <x:c r="D39" s="9"/>
    </x:row>
    <x:row r="40" spans="1:4" x14ac:dyDescent="0.25">
      <x:c r="A40" s="8"/>
      <x:c r="B40" s="8"/>
      <x:c r="C40" s="8"/>
      <x:c r="D40" s="10"/>
    </x:row>
    <x:row r="41" spans="1:4" x14ac:dyDescent="0.25">
      <x:c r="A41" s="8"/>
      <x:c r="B41" s="8"/>
      <x:c r="C41" s="8"/>
      <x:c r="D41" s="11"/>
    </x:row>
  </x:sheetData>
  <x:sortState xmlns:xlrd2="http://schemas.microsoft.com/office/spreadsheetml/2017/richdata2" ref="F2:G11">
    <x:sortCondition descending="1" ref="F2"/>
  </x:sortState>
  <x:dataConsolidate function="count" topLabels="1">
    <x:dataRefs count="1">
      <x:dataRef ref="E2:E52" sheet="Hatalı Isler Yazılım PROD" r:id="rId1"/>
    </x:dataRefs>
  </x:dataConsolidate>
  <x:pageMargins left="0.7" right="0.7" top="0.75" bottom="0.75" header="0.3" footer="0.3"/>
  <x:pageSetup paperSize="9" orientation="portrait" r:id="rId2"/>
  <x:headerFooter>
    <x:oddFooter>&amp;C&amp;"Times New Roman"&amp;8&amp;K00CCFF Ise Ozel</x:oddFooter>
  </x:headerFooter>
  <x:tableParts count="2">
    <x:tablePart r:id="rId3"/>
    <x:tablePart r:id="rId4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showGridLines="0" zoomScale="145" zoomScaleNormal="145" workbookViewId="0">
      <selection activeCell="B41" sqref="B41"/>
    </sheetView>
  </sheetViews>
  <sheetFormatPr defaultRowHeight="15" x14ac:dyDescent="0.25"/>
  <cols>
    <col min="1" max="1" width="17.140625" customWidth="1"/>
    <col min="2" max="2" width="37" customWidth="1"/>
    <col min="3" max="3" width="39" customWidth="1"/>
    <col min="4" max="4" width="17" customWidth="1"/>
    <col min="6" max="6" width="19.5703125" customWidth="1"/>
    <col min="7" max="7" width="17.140625" customWidth="1"/>
  </cols>
  <sheetData>
    <row r="1" spans="1:7" ht="54.75" customHeight="1" x14ac:dyDescent="0.25">
      <c r="A1" s="34" t="s">
        <v>5</v>
      </c>
      <c r="B1" s="15" t="s">
        <v>23</v>
      </c>
      <c r="C1" s="15" t="s">
        <v>24</v>
      </c>
      <c r="D1" s="16" t="s">
        <v>0</v>
      </c>
      <c r="F1" s="4" t="s">
        <v>4</v>
      </c>
      <c r="G1" s="4" t="s">
        <v>15</v>
      </c>
    </row>
    <row r="2" spans="1:7" x14ac:dyDescent="0.25">
      <c r="A2" s="14" t="s">
        <v>55</v>
      </c>
      <c r="B2" s="14">
        <v>30</v>
      </c>
      <c r="C2" s="14">
        <v>6293</v>
      </c>
      <c r="D2" s="20" t="s">
        <v>46</v>
      </c>
      <c r="F2" s="1" t="s">
        <v>1</v>
      </c>
      <c r="G2" s="1">
        <f>COUNTIF($D$2:$D$63,F2)</f>
        <v>4</v>
      </c>
    </row>
    <row r="3" spans="1:7" x14ac:dyDescent="0.25">
      <c r="A3" s="14" t="s">
        <v>82</v>
      </c>
      <c r="B3" s="14">
        <v>1564</v>
      </c>
      <c r="C3" s="14">
        <v>5742</v>
      </c>
      <c r="D3" s="20" t="s">
        <v>11</v>
      </c>
      <c r="F3" s="1" t="s">
        <v>80</v>
      </c>
      <c r="G3" s="1">
        <f t="shared" ref="G3:G19" si="0">COUNTIF($D$2:$D$63,F3)</f>
        <v>1</v>
      </c>
    </row>
    <row r="4" spans="1:7" x14ac:dyDescent="0.25">
      <c r="A4" s="14" t="s">
        <v>97</v>
      </c>
      <c r="B4" s="14">
        <v>1200</v>
      </c>
      <c r="C4" s="14">
        <v>4883</v>
      </c>
      <c r="D4" s="20" t="s">
        <v>1</v>
      </c>
      <c r="F4" s="1" t="s">
        <v>13</v>
      </c>
      <c r="G4" s="1">
        <f t="shared" si="0"/>
        <v>3</v>
      </c>
    </row>
    <row r="5" spans="1:7" x14ac:dyDescent="0.25">
      <c r="A5" s="14" t="s">
        <v>44</v>
      </c>
      <c r="B5" s="14">
        <v>684</v>
      </c>
      <c r="C5" s="14">
        <v>4772</v>
      </c>
      <c r="D5" s="20" t="s">
        <v>11</v>
      </c>
      <c r="F5" s="1" t="s">
        <v>104</v>
      </c>
      <c r="G5" s="1">
        <f t="shared" si="0"/>
        <v>1</v>
      </c>
    </row>
    <row r="6" spans="1:7" x14ac:dyDescent="0.25">
      <c r="A6" s="14" t="s">
        <v>45</v>
      </c>
      <c r="B6" s="14">
        <v>12958</v>
      </c>
      <c r="C6" s="14">
        <v>3818</v>
      </c>
      <c r="D6" s="20" t="s">
        <v>111</v>
      </c>
      <c r="F6" s="1" t="s">
        <v>96</v>
      </c>
      <c r="G6" s="1">
        <f t="shared" si="0"/>
        <v>1</v>
      </c>
    </row>
    <row r="7" spans="1:7" x14ac:dyDescent="0.25">
      <c r="A7" s="14" t="s">
        <v>6</v>
      </c>
      <c r="B7" s="14">
        <v>92</v>
      </c>
      <c r="C7" s="14">
        <v>3266</v>
      </c>
      <c r="D7" s="20" t="s">
        <v>11</v>
      </c>
      <c r="F7" s="1" t="s">
        <v>2</v>
      </c>
      <c r="G7" s="1">
        <f t="shared" si="0"/>
        <v>2</v>
      </c>
    </row>
    <row r="8" spans="1:7" x14ac:dyDescent="0.25">
      <c r="A8" s="14" t="s">
        <v>48</v>
      </c>
      <c r="B8" s="14">
        <v>30</v>
      </c>
      <c r="C8" s="14">
        <v>3111</v>
      </c>
      <c r="D8" s="20" t="s">
        <v>46</v>
      </c>
      <c r="F8" s="1" t="s">
        <v>12</v>
      </c>
      <c r="G8" s="1">
        <f t="shared" si="0"/>
        <v>1</v>
      </c>
    </row>
    <row r="9" spans="1:7" x14ac:dyDescent="0.25">
      <c r="A9" s="14" t="s">
        <v>7</v>
      </c>
      <c r="B9" s="14">
        <v>240</v>
      </c>
      <c r="C9" s="14">
        <v>2726</v>
      </c>
      <c r="D9" s="20" t="s">
        <v>11</v>
      </c>
      <c r="F9" s="1" t="s">
        <v>11</v>
      </c>
      <c r="G9" s="1">
        <f t="shared" si="0"/>
        <v>6</v>
      </c>
    </row>
    <row r="10" spans="1:7" x14ac:dyDescent="0.25">
      <c r="A10" s="14" t="s">
        <v>98</v>
      </c>
      <c r="B10" s="14">
        <v>41</v>
      </c>
      <c r="C10" s="14">
        <v>2692</v>
      </c>
      <c r="D10" s="20" t="s">
        <v>84</v>
      </c>
      <c r="F10" s="1" t="s">
        <v>84</v>
      </c>
      <c r="G10" s="1">
        <f t="shared" si="0"/>
        <v>1</v>
      </c>
    </row>
    <row r="11" spans="1:7" x14ac:dyDescent="0.25">
      <c r="A11" s="14" t="s">
        <v>69</v>
      </c>
      <c r="B11" s="14">
        <v>30</v>
      </c>
      <c r="C11" s="14">
        <v>2355</v>
      </c>
      <c r="D11" s="20" t="s">
        <v>11</v>
      </c>
      <c r="F11" s="1" t="s">
        <v>51</v>
      </c>
      <c r="G11" s="1">
        <f t="shared" si="0"/>
        <v>1</v>
      </c>
    </row>
    <row r="12" spans="1:7" x14ac:dyDescent="0.25">
      <c r="A12" s="14" t="s">
        <v>42</v>
      </c>
      <c r="B12" s="14">
        <v>111</v>
      </c>
      <c r="C12" s="14">
        <v>2193</v>
      </c>
      <c r="D12" s="20" t="s">
        <v>46</v>
      </c>
      <c r="F12" s="1" t="s">
        <v>14</v>
      </c>
      <c r="G12" s="1">
        <f t="shared" si="0"/>
        <v>1</v>
      </c>
    </row>
    <row r="13" spans="1:7" x14ac:dyDescent="0.25">
      <c r="A13" s="14" t="s">
        <v>66</v>
      </c>
      <c r="B13" s="14">
        <v>30</v>
      </c>
      <c r="C13" s="14">
        <v>2159</v>
      </c>
      <c r="D13" s="20" t="s">
        <v>51</v>
      </c>
      <c r="F13" s="1" t="s">
        <v>20</v>
      </c>
      <c r="G13" s="1">
        <f t="shared" si="0"/>
        <v>1</v>
      </c>
    </row>
    <row r="14" spans="1:7" x14ac:dyDescent="0.25">
      <c r="A14" s="14" t="s">
        <v>25</v>
      </c>
      <c r="B14" s="14">
        <v>103</v>
      </c>
      <c r="C14" s="14">
        <v>2142</v>
      </c>
      <c r="D14" s="20" t="s">
        <v>13</v>
      </c>
      <c r="F14" s="1" t="s">
        <v>46</v>
      </c>
      <c r="G14" s="1">
        <f t="shared" si="0"/>
        <v>4</v>
      </c>
    </row>
    <row r="15" spans="1:7" x14ac:dyDescent="0.25">
      <c r="A15" s="14" t="s">
        <v>73</v>
      </c>
      <c r="B15" s="14">
        <v>30</v>
      </c>
      <c r="C15" s="14">
        <v>2129</v>
      </c>
      <c r="D15" s="20" t="s">
        <v>80</v>
      </c>
      <c r="F15" s="1" t="s">
        <v>81</v>
      </c>
      <c r="G15" s="1">
        <f t="shared" si="0"/>
        <v>1</v>
      </c>
    </row>
    <row r="16" spans="1:7" x14ac:dyDescent="0.25">
      <c r="A16" s="14" t="s">
        <v>75</v>
      </c>
      <c r="B16" s="14">
        <v>30</v>
      </c>
      <c r="C16" s="14">
        <v>2026</v>
      </c>
      <c r="D16" s="20" t="s">
        <v>81</v>
      </c>
      <c r="F16" s="1" t="s">
        <v>111</v>
      </c>
      <c r="G16" s="1">
        <f t="shared" si="0"/>
        <v>1</v>
      </c>
    </row>
    <row r="17" spans="1:7" x14ac:dyDescent="0.25">
      <c r="A17" s="14" t="s">
        <v>68</v>
      </c>
      <c r="B17" s="14">
        <v>30</v>
      </c>
      <c r="C17" s="14">
        <v>2003</v>
      </c>
      <c r="D17" s="20" t="s">
        <v>1</v>
      </c>
      <c r="F17" s="1" t="s">
        <v>89</v>
      </c>
      <c r="G17" s="1">
        <f t="shared" si="0"/>
        <v>1</v>
      </c>
    </row>
    <row r="18" spans="1:7" x14ac:dyDescent="0.25">
      <c r="A18" s="14" t="s">
        <v>94</v>
      </c>
      <c r="B18" s="14">
        <v>30</v>
      </c>
      <c r="C18" s="14">
        <v>1978</v>
      </c>
      <c r="D18" s="35" t="s">
        <v>96</v>
      </c>
      <c r="F18" s="1"/>
      <c r="G18" s="1">
        <f t="shared" si="0"/>
        <v>0</v>
      </c>
    </row>
    <row r="19" spans="1:7" x14ac:dyDescent="0.25">
      <c r="A19" s="14" t="s">
        <v>67</v>
      </c>
      <c r="B19" s="14">
        <v>60</v>
      </c>
      <c r="C19" s="14">
        <v>1965</v>
      </c>
      <c r="D19" s="35" t="s">
        <v>11</v>
      </c>
      <c r="F19" s="1"/>
      <c r="G19" s="1">
        <f t="shared" si="0"/>
        <v>0</v>
      </c>
    </row>
    <row r="20" spans="1:7" x14ac:dyDescent="0.25">
      <c r="A20" s="14" t="s">
        <v>74</v>
      </c>
      <c r="B20" s="14">
        <v>31</v>
      </c>
      <c r="C20" s="14">
        <v>1915</v>
      </c>
      <c r="D20" s="35" t="s">
        <v>89</v>
      </c>
      <c r="F20" s="1" t="s">
        <v>26</v>
      </c>
      <c r="G20" s="2">
        <f>SUM(G2:G19)</f>
        <v>30</v>
      </c>
    </row>
    <row r="21" spans="1:7" x14ac:dyDescent="0.25">
      <c r="A21" s="14" t="s">
        <v>71</v>
      </c>
      <c r="B21" s="14">
        <v>21</v>
      </c>
      <c r="C21" s="14">
        <v>1861</v>
      </c>
      <c r="D21" s="35" t="s">
        <v>1</v>
      </c>
    </row>
    <row r="22" spans="1:7" x14ac:dyDescent="0.25">
      <c r="A22" s="14" t="s">
        <v>52</v>
      </c>
      <c r="B22" s="14">
        <v>85</v>
      </c>
      <c r="C22" s="14">
        <v>1845</v>
      </c>
      <c r="D22" s="35" t="s">
        <v>46</v>
      </c>
    </row>
    <row r="23" spans="1:7" x14ac:dyDescent="0.25">
      <c r="A23" s="14" t="s">
        <v>87</v>
      </c>
      <c r="B23" s="14">
        <v>30</v>
      </c>
      <c r="C23" s="14">
        <v>1826</v>
      </c>
      <c r="D23" s="35" t="s">
        <v>2</v>
      </c>
    </row>
    <row r="24" spans="1:7" x14ac:dyDescent="0.25">
      <c r="A24" s="14" t="s">
        <v>72</v>
      </c>
      <c r="B24" s="14">
        <v>30</v>
      </c>
      <c r="C24" s="14">
        <v>1804</v>
      </c>
      <c r="D24" s="35" t="s">
        <v>1</v>
      </c>
    </row>
    <row r="25" spans="1:7" x14ac:dyDescent="0.25">
      <c r="A25" s="14" t="s">
        <v>99</v>
      </c>
      <c r="B25" s="14">
        <v>30</v>
      </c>
      <c r="C25" s="14">
        <v>1801</v>
      </c>
      <c r="D25" s="35" t="s">
        <v>104</v>
      </c>
    </row>
    <row r="26" spans="1:7" x14ac:dyDescent="0.25">
      <c r="A26" s="14" t="s">
        <v>93</v>
      </c>
      <c r="B26" s="14">
        <v>30</v>
      </c>
      <c r="C26" s="14">
        <v>1794</v>
      </c>
      <c r="D26" s="35" t="s">
        <v>20</v>
      </c>
    </row>
    <row r="27" spans="1:7" x14ac:dyDescent="0.25">
      <c r="A27" s="14" t="s">
        <v>10</v>
      </c>
      <c r="B27" s="14">
        <v>1512</v>
      </c>
      <c r="C27" s="14">
        <v>1777</v>
      </c>
      <c r="D27" s="35" t="s">
        <v>14</v>
      </c>
    </row>
    <row r="28" spans="1:7" x14ac:dyDescent="0.25">
      <c r="A28" s="14" t="s">
        <v>70</v>
      </c>
      <c r="B28" s="14">
        <v>32</v>
      </c>
      <c r="C28" s="14">
        <v>1765</v>
      </c>
      <c r="D28" s="35" t="s">
        <v>2</v>
      </c>
    </row>
    <row r="29" spans="1:7" x14ac:dyDescent="0.25">
      <c r="A29" s="14" t="s">
        <v>100</v>
      </c>
      <c r="B29" s="14">
        <v>30</v>
      </c>
      <c r="C29" s="14">
        <v>1759</v>
      </c>
      <c r="D29" s="35" t="s">
        <v>13</v>
      </c>
    </row>
    <row r="30" spans="1:7" x14ac:dyDescent="0.25">
      <c r="A30" s="14" t="s">
        <v>88</v>
      </c>
      <c r="B30" s="14">
        <v>30</v>
      </c>
      <c r="C30" s="14">
        <v>1707</v>
      </c>
      <c r="D30" s="35" t="s">
        <v>12</v>
      </c>
    </row>
    <row r="31" spans="1:7" x14ac:dyDescent="0.25">
      <c r="A31" s="14" t="s">
        <v>101</v>
      </c>
      <c r="B31" s="14">
        <v>29</v>
      </c>
      <c r="C31" s="14">
        <v>1691</v>
      </c>
      <c r="D31" s="35" t="s">
        <v>13</v>
      </c>
    </row>
    <row r="32" spans="1:7" x14ac:dyDescent="0.25">
      <c r="A32" s="36"/>
      <c r="B32" s="19"/>
      <c r="C32" s="19"/>
      <c r="D32" s="35"/>
    </row>
    <row r="33" spans="1:4" x14ac:dyDescent="0.25">
      <c r="A33" s="36"/>
      <c r="B33" s="19"/>
      <c r="C33" s="19"/>
      <c r="D33" s="35"/>
    </row>
    <row r="34" spans="1:4" x14ac:dyDescent="0.25">
      <c r="A34" s="37"/>
      <c r="B34" s="24"/>
      <c r="C34" s="24"/>
      <c r="D34" s="38"/>
    </row>
  </sheetData>
  <dataConsolidate function="count" topLabels="1">
    <dataRefs count="1">
      <dataRef ref="E2:E52" sheet="Hatalı Isler Yazılım PROD" r:id="rId1"/>
    </dataRefs>
  </dataConsolidate>
  <conditionalFormatting sqref="A2:D34">
    <cfRule type="expression" dxfId="12" priority="2">
      <formula>MOD(ROW(),2)=0</formula>
    </cfRule>
  </conditionalFormatting>
  <pageMargins left="0.7" right="0.7" top="0.75" bottom="0.75" header="0.3" footer="0.3"/>
  <pageSetup paperSize="9" orientation="portrait" r:id="rId2"/>
  <headerFooter scaleWithDoc="0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showGridLines="0" zoomScale="130" zoomScaleNormal="130" workbookViewId="0">
      <selection activeCell="B1" sqref="B1"/>
    </sheetView>
  </sheetViews>
  <sheetFormatPr defaultRowHeight="15" x14ac:dyDescent="0.25"/>
  <cols>
    <col min="1" max="1" width="19.42578125" customWidth="1"/>
    <col min="2" max="2" width="37" customWidth="1"/>
    <col min="3" max="3" width="39" customWidth="1"/>
    <col min="4" max="4" width="20" customWidth="1"/>
    <col min="6" max="6" width="19.5703125" customWidth="1"/>
    <col min="7" max="7" width="17.140625" customWidth="1"/>
  </cols>
  <sheetData>
    <row r="1" spans="1:7" ht="42.75" customHeight="1" x14ac:dyDescent="0.25">
      <c r="A1" s="15" t="s">
        <v>5</v>
      </c>
      <c r="B1" s="15" t="s">
        <v>23</v>
      </c>
      <c r="C1" s="15" t="s">
        <v>24</v>
      </c>
      <c r="D1" s="16" t="s">
        <v>0</v>
      </c>
      <c r="F1" s="4" t="s">
        <v>4</v>
      </c>
      <c r="G1" s="4" t="s">
        <v>15</v>
      </c>
    </row>
    <row r="2" spans="1:7" x14ac:dyDescent="0.25">
      <c r="A2" s="27" t="s">
        <v>77</v>
      </c>
      <c r="B2" s="28">
        <v>29</v>
      </c>
      <c r="C2" s="29">
        <v>14862</v>
      </c>
      <c r="D2" s="20" t="s">
        <v>16</v>
      </c>
      <c r="F2" s="1" t="s">
        <v>16</v>
      </c>
      <c r="G2" s="1">
        <f>COUNTIF($D$2:$D$56,F2)</f>
        <v>10</v>
      </c>
    </row>
    <row r="3" spans="1:7" x14ac:dyDescent="0.25">
      <c r="A3" s="17" t="s">
        <v>76</v>
      </c>
      <c r="B3" s="18">
        <v>29</v>
      </c>
      <c r="C3" s="19">
        <v>14608</v>
      </c>
      <c r="D3" s="20" t="s">
        <v>16</v>
      </c>
      <c r="F3" s="1" t="s">
        <v>17</v>
      </c>
      <c r="G3" s="1">
        <f>COUNTIF($D$2:$D$56,F3)</f>
        <v>13</v>
      </c>
    </row>
    <row r="4" spans="1:7" x14ac:dyDescent="0.25">
      <c r="A4" s="17" t="s">
        <v>30</v>
      </c>
      <c r="B4" s="18">
        <v>29</v>
      </c>
      <c r="C4" s="19">
        <v>13133</v>
      </c>
      <c r="D4" s="20" t="s">
        <v>16</v>
      </c>
      <c r="F4" s="1" t="s">
        <v>18</v>
      </c>
      <c r="G4" s="1">
        <f>COUNTIF($D$2:$D$56,F4)</f>
        <v>8</v>
      </c>
    </row>
    <row r="5" spans="1:7" x14ac:dyDescent="0.25">
      <c r="A5" s="17" t="s">
        <v>27</v>
      </c>
      <c r="B5" s="18">
        <v>29</v>
      </c>
      <c r="C5" s="19">
        <v>12108</v>
      </c>
      <c r="D5" s="20" t="s">
        <v>16</v>
      </c>
      <c r="F5" s="1" t="s">
        <v>19</v>
      </c>
      <c r="G5" s="1">
        <f>COUNTIF($D$2:$D$56,F5)</f>
        <v>1</v>
      </c>
    </row>
    <row r="6" spans="1:7" x14ac:dyDescent="0.25">
      <c r="A6" s="17" t="s">
        <v>28</v>
      </c>
      <c r="B6" s="18">
        <v>29</v>
      </c>
      <c r="C6" s="19">
        <v>11288</v>
      </c>
      <c r="D6" s="20" t="s">
        <v>16</v>
      </c>
      <c r="F6" s="1" t="s">
        <v>115</v>
      </c>
      <c r="G6" s="1">
        <f>COUNTIF($D$2:$D$56,F6)</f>
        <v>2</v>
      </c>
    </row>
    <row r="7" spans="1:7" x14ac:dyDescent="0.25">
      <c r="A7" s="17" t="s">
        <v>29</v>
      </c>
      <c r="B7" s="18">
        <v>29</v>
      </c>
      <c r="C7" s="19">
        <v>10912</v>
      </c>
      <c r="D7" s="20" t="s">
        <v>16</v>
      </c>
      <c r="F7" s="1"/>
      <c r="G7" s="1">
        <f t="shared" ref="G2:G15" si="0">COUNTIF($D$2:$D$56,F7)</f>
        <v>0</v>
      </c>
    </row>
    <row r="8" spans="1:7" x14ac:dyDescent="0.25">
      <c r="A8" s="17" t="s">
        <v>86</v>
      </c>
      <c r="B8" s="18">
        <v>29</v>
      </c>
      <c r="C8" s="19">
        <v>8846</v>
      </c>
      <c r="D8" s="20" t="s">
        <v>17</v>
      </c>
      <c r="F8" s="1"/>
      <c r="G8" s="1">
        <f t="shared" si="0"/>
        <v>0</v>
      </c>
    </row>
    <row r="9" spans="1:7" x14ac:dyDescent="0.25">
      <c r="A9" s="17" t="s">
        <v>34</v>
      </c>
      <c r="B9" s="18">
        <v>29</v>
      </c>
      <c r="C9" s="19">
        <v>8027</v>
      </c>
      <c r="D9" s="20" t="s">
        <v>17</v>
      </c>
      <c r="F9" s="1"/>
      <c r="G9" s="1">
        <f t="shared" si="0"/>
        <v>0</v>
      </c>
    </row>
    <row r="10" spans="1:7" x14ac:dyDescent="0.25">
      <c r="A10" s="17" t="s">
        <v>31</v>
      </c>
      <c r="B10" s="18">
        <v>29</v>
      </c>
      <c r="C10" s="19">
        <v>7595</v>
      </c>
      <c r="D10" s="20" t="s">
        <v>17</v>
      </c>
      <c r="F10" s="1"/>
      <c r="G10" s="1">
        <f t="shared" si="0"/>
        <v>0</v>
      </c>
    </row>
    <row r="11" spans="1:7" x14ac:dyDescent="0.25">
      <c r="A11" s="17" t="s">
        <v>36</v>
      </c>
      <c r="B11" s="18">
        <v>29</v>
      </c>
      <c r="C11" s="19">
        <v>6813</v>
      </c>
      <c r="D11" s="20" t="s">
        <v>17</v>
      </c>
      <c r="F11" s="1"/>
      <c r="G11" s="1">
        <f t="shared" si="0"/>
        <v>0</v>
      </c>
    </row>
    <row r="12" spans="1:7" x14ac:dyDescent="0.25">
      <c r="A12" s="33" t="s">
        <v>39</v>
      </c>
      <c r="B12" s="33">
        <v>29</v>
      </c>
      <c r="C12" s="33">
        <v>6631</v>
      </c>
      <c r="D12" s="20" t="s">
        <v>17</v>
      </c>
      <c r="F12" s="1"/>
      <c r="G12" s="1">
        <f t="shared" si="0"/>
        <v>0</v>
      </c>
    </row>
    <row r="13" spans="1:7" x14ac:dyDescent="0.25">
      <c r="A13" s="17" t="s">
        <v>78</v>
      </c>
      <c r="B13" s="18">
        <v>29</v>
      </c>
      <c r="C13" s="19">
        <v>6178</v>
      </c>
      <c r="D13" s="20" t="s">
        <v>17</v>
      </c>
      <c r="F13" s="1"/>
      <c r="G13" s="1">
        <f t="shared" si="0"/>
        <v>0</v>
      </c>
    </row>
    <row r="14" spans="1:7" x14ac:dyDescent="0.25">
      <c r="A14" s="17" t="s">
        <v>37</v>
      </c>
      <c r="B14" s="18">
        <v>30</v>
      </c>
      <c r="C14" s="19">
        <v>5983</v>
      </c>
      <c r="D14" s="20" t="s">
        <v>18</v>
      </c>
      <c r="F14" s="1"/>
      <c r="G14" s="1">
        <f t="shared" si="0"/>
        <v>0</v>
      </c>
    </row>
    <row r="15" spans="1:7" x14ac:dyDescent="0.25">
      <c r="A15" s="17" t="s">
        <v>38</v>
      </c>
      <c r="B15" s="18">
        <v>29</v>
      </c>
      <c r="C15" s="19">
        <v>5975</v>
      </c>
      <c r="D15" s="20" t="s">
        <v>17</v>
      </c>
      <c r="F15" s="1"/>
      <c r="G15" s="1">
        <f t="shared" si="0"/>
        <v>0</v>
      </c>
    </row>
    <row r="16" spans="1:7" x14ac:dyDescent="0.25">
      <c r="A16" s="17" t="s">
        <v>33</v>
      </c>
      <c r="B16" s="18">
        <v>29</v>
      </c>
      <c r="C16" s="19">
        <v>5907</v>
      </c>
      <c r="D16" s="20" t="s">
        <v>17</v>
      </c>
      <c r="F16" s="1" t="s">
        <v>26</v>
      </c>
      <c r="G16" s="2">
        <f>SUM(G2:G15)</f>
        <v>34</v>
      </c>
    </row>
    <row r="17" spans="1:4" x14ac:dyDescent="0.25">
      <c r="A17" s="33" t="s">
        <v>35</v>
      </c>
      <c r="B17" s="33">
        <v>30</v>
      </c>
      <c r="C17" s="33">
        <v>5855</v>
      </c>
      <c r="D17" s="20" t="s">
        <v>18</v>
      </c>
    </row>
    <row r="18" spans="1:4" x14ac:dyDescent="0.25">
      <c r="A18" s="17" t="s">
        <v>105</v>
      </c>
      <c r="B18" s="18">
        <v>2880</v>
      </c>
      <c r="C18" s="19">
        <v>5447</v>
      </c>
      <c r="D18" s="20" t="s">
        <v>115</v>
      </c>
    </row>
    <row r="19" spans="1:4" x14ac:dyDescent="0.25">
      <c r="A19" s="17" t="s">
        <v>106</v>
      </c>
      <c r="B19" s="18">
        <v>2881</v>
      </c>
      <c r="C19" s="19">
        <v>5359</v>
      </c>
      <c r="D19" s="20" t="s">
        <v>115</v>
      </c>
    </row>
    <row r="20" spans="1:4" x14ac:dyDescent="0.25">
      <c r="A20" s="17" t="s">
        <v>32</v>
      </c>
      <c r="B20" s="18">
        <v>29</v>
      </c>
      <c r="C20" s="19">
        <v>5336</v>
      </c>
      <c r="D20" s="20" t="s">
        <v>17</v>
      </c>
    </row>
    <row r="21" spans="1:4" x14ac:dyDescent="0.25">
      <c r="A21" s="33" t="s">
        <v>40</v>
      </c>
      <c r="B21" s="33">
        <v>29</v>
      </c>
      <c r="C21" s="33">
        <v>4859</v>
      </c>
      <c r="D21" s="20" t="s">
        <v>17</v>
      </c>
    </row>
    <row r="22" spans="1:4" x14ac:dyDescent="0.25">
      <c r="A22" s="3" t="s">
        <v>79</v>
      </c>
      <c r="B22" s="3">
        <v>30</v>
      </c>
      <c r="C22" s="3">
        <v>3799</v>
      </c>
      <c r="D22" s="21" t="s">
        <v>17</v>
      </c>
    </row>
    <row r="23" spans="1:4" x14ac:dyDescent="0.25">
      <c r="A23" s="33" t="s">
        <v>60</v>
      </c>
      <c r="B23" s="33">
        <v>30</v>
      </c>
      <c r="C23" s="33">
        <v>3687</v>
      </c>
      <c r="D23" s="21" t="s">
        <v>16</v>
      </c>
    </row>
    <row r="24" spans="1:4" x14ac:dyDescent="0.25">
      <c r="A24" s="33" t="s">
        <v>41</v>
      </c>
      <c r="B24" s="33">
        <v>29</v>
      </c>
      <c r="C24" s="33">
        <v>3588</v>
      </c>
      <c r="D24" s="21" t="s">
        <v>19</v>
      </c>
    </row>
    <row r="25" spans="1:4" x14ac:dyDescent="0.25">
      <c r="A25" s="17" t="s">
        <v>65</v>
      </c>
      <c r="B25" s="18">
        <v>30</v>
      </c>
      <c r="C25" s="19">
        <v>3296</v>
      </c>
      <c r="D25" s="21" t="s">
        <v>16</v>
      </c>
    </row>
    <row r="26" spans="1:4" x14ac:dyDescent="0.25">
      <c r="A26" s="33" t="s">
        <v>58</v>
      </c>
      <c r="B26" s="33">
        <v>90</v>
      </c>
      <c r="C26" s="33">
        <v>2933</v>
      </c>
      <c r="D26" s="21" t="s">
        <v>18</v>
      </c>
    </row>
    <row r="27" spans="1:4" x14ac:dyDescent="0.25">
      <c r="A27" s="33" t="s">
        <v>50</v>
      </c>
      <c r="B27" s="33">
        <v>30</v>
      </c>
      <c r="C27" s="33">
        <v>2831</v>
      </c>
      <c r="D27" s="21" t="s">
        <v>18</v>
      </c>
    </row>
    <row r="28" spans="1:4" x14ac:dyDescent="0.25">
      <c r="A28" s="33" t="s">
        <v>49</v>
      </c>
      <c r="B28" s="33">
        <v>30</v>
      </c>
      <c r="C28" s="33">
        <v>2500</v>
      </c>
      <c r="D28" s="21" t="s">
        <v>18</v>
      </c>
    </row>
    <row r="29" spans="1:4" x14ac:dyDescent="0.25">
      <c r="A29" s="33" t="s">
        <v>64</v>
      </c>
      <c r="B29" s="33">
        <v>30</v>
      </c>
      <c r="C29" s="33">
        <v>2317</v>
      </c>
      <c r="D29" s="21" t="s">
        <v>18</v>
      </c>
    </row>
    <row r="30" spans="1:4" x14ac:dyDescent="0.25">
      <c r="A30" s="30" t="s">
        <v>54</v>
      </c>
      <c r="B30" s="31">
        <v>30</v>
      </c>
      <c r="C30" s="30">
        <v>2163</v>
      </c>
      <c r="D30" s="25" t="s">
        <v>18</v>
      </c>
    </row>
    <row r="31" spans="1:4" x14ac:dyDescent="0.25">
      <c r="A31" s="22" t="s">
        <v>95</v>
      </c>
      <c r="B31" s="23">
        <v>30</v>
      </c>
      <c r="C31" s="24">
        <v>1987</v>
      </c>
      <c r="D31" s="25" t="s">
        <v>17</v>
      </c>
    </row>
    <row r="32" spans="1:4" x14ac:dyDescent="0.25">
      <c r="A32" s="22" t="s">
        <v>59</v>
      </c>
      <c r="B32" s="23">
        <v>30</v>
      </c>
      <c r="C32" s="24">
        <v>1925</v>
      </c>
      <c r="D32" s="25" t="s">
        <v>16</v>
      </c>
    </row>
    <row r="33" spans="1:4" x14ac:dyDescent="0.25">
      <c r="A33" s="22" t="s">
        <v>112</v>
      </c>
      <c r="B33" s="23">
        <v>30</v>
      </c>
      <c r="C33" s="24">
        <v>1899</v>
      </c>
      <c r="D33" s="25" t="s">
        <v>16</v>
      </c>
    </row>
    <row r="34" spans="1:4" x14ac:dyDescent="0.25">
      <c r="A34" s="17" t="s">
        <v>113</v>
      </c>
      <c r="B34" s="18">
        <v>30</v>
      </c>
      <c r="C34" s="19">
        <v>1877</v>
      </c>
      <c r="D34" s="21" t="s">
        <v>17</v>
      </c>
    </row>
    <row r="35" spans="1:4" x14ac:dyDescent="0.25">
      <c r="A35" s="22" t="s">
        <v>114</v>
      </c>
      <c r="B35" s="23">
        <v>4</v>
      </c>
      <c r="C35" s="24">
        <v>1765</v>
      </c>
      <c r="D35" s="25" t="s">
        <v>18</v>
      </c>
    </row>
    <row r="36" spans="1:4" x14ac:dyDescent="0.25">
      <c r="A36" s="32"/>
      <c r="B36" s="26"/>
      <c r="C36" s="26"/>
      <c r="D36" s="25"/>
    </row>
  </sheetData>
  <dataConsolidate function="count" topLabels="1">
    <dataRefs count="1">
      <dataRef ref="E2:E52" sheet="Hatalı Isler Yazılım PROD" r:id="rId1"/>
    </dataRefs>
  </dataConsolidate>
  <conditionalFormatting sqref="A19:C21 A2:D18">
    <cfRule type="expression" dxfId="11" priority="5">
      <formula>MOD(ROW(),2)=0</formula>
    </cfRule>
  </conditionalFormatting>
  <conditionalFormatting sqref="D19:D20">
    <cfRule type="expression" dxfId="10" priority="3">
      <formula>MOD(ROW(),2)=0</formula>
    </cfRule>
  </conditionalFormatting>
  <conditionalFormatting sqref="D21">
    <cfRule type="expression" dxfId="9" priority="2">
      <formula>MOD(ROW(),2)=0</formula>
    </cfRule>
  </conditionalFormatting>
  <pageMargins left="0.7" right="0.7" top="0.75" bottom="0.75" header="0.3" footer="0.3"/>
  <pageSetup paperSize="9" orientation="portrait" r:id="rId2"/>
  <headerFooter scaleWithDoc="0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DOCUMENTGUID%">{00000000-0000-0000-0000-000000000000}</XMLData>
</file>

<file path=customXml/item2.xml><?xml version="1.0" encoding="utf-8"?>
<XMLData TextToDisplay="RightsWATCHMark">2|HALKBANK-GENEL-KURUM ICI|{00000000-0000-0000-0000-000000000000}</XMLData>
</file>

<file path=customXml/item3.xml><?xml version="1.0" encoding="utf-8"?>
<XMLData TextToDisplay="%CLASSIFICATIONDATETIME%">06:40 01/06/2022</XMLData>
</file>

<file path=customXml/itemProps1.xml><?xml version="1.0" encoding="utf-8"?>
<ds:datastoreItem xmlns:ds="http://schemas.openxmlformats.org/officeDocument/2006/customXml" ds:itemID="{18FB95C4-E83B-478B-AC5E-66F847678E58}">
  <ds:schemaRefs/>
</ds:datastoreItem>
</file>

<file path=customXml/itemProps2.xml><?xml version="1.0" encoding="utf-8"?>
<ds:datastoreItem xmlns:ds="http://schemas.openxmlformats.org/officeDocument/2006/customXml" ds:itemID="{B2595B28-FE10-4A69-9C54-43799ACD046D}">
  <ds:schemaRefs/>
</ds:datastoreItem>
</file>

<file path=customXml/itemProps3.xml><?xml version="1.0" encoding="utf-8"?>
<ds:datastoreItem xmlns:ds="http://schemas.openxmlformats.org/officeDocument/2006/customXml" ds:itemID="{6D72ACF3-6626-4C0B-816D-A5A8C5351B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Mesai Saatleri  </vt:lpstr>
      <vt:lpstr> Tüm Gün Yazılım</vt:lpstr>
      <vt:lpstr>Tüm Gün AnaSistemler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2024-11-01T09:11:12Z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RightsWATCHMark">
    <vt:lpwstr>2|HALKBANK-GENEL-KURUM ICI|{00000000-0000-0000-0000-000000000000}</vt:lpwstr>
  </op:property>
  <op:property fmtid="{D5CDD505-2E9C-101B-9397-08002B2CF9AE}" pid="3" name="Excel_AddedWatermark_PropertyName">
    <vt:lpwstr/>
  </op:property>
  <op:property fmtid="{D5CDD505-2E9C-101B-9397-08002B2CF9AE}" pid="4" name="VeriketClassification">
    <vt:lpwstr>75e0c5f8-d770-42c4-b03c-c72de4749366</vt:lpwstr>
  </op:property>
  <op:property fmtid="{D5CDD505-2E9C-101B-9397-08002B2CF9AE}" pid="5" name="DetectedPolicyPropertyName">
    <vt:lpwstr/>
  </op:property>
  <op:property fmtid="{D5CDD505-2E9C-101B-9397-08002B2CF9AE}" pid="6" name="DetectedKeywordsPropertyName">
    <vt:lpwstr/>
  </op:property>
  <op:property fmtid="{D5CDD505-2E9C-101B-9397-08002B2CF9AE}" pid="7" name="SensitivityPropertyName">
    <vt:lpwstr>3265DAC8-E08B-44A1-BADC-2164496259F8</vt:lpwstr>
  </op:property>
  <op:property fmtid="{D5CDD505-2E9C-101B-9397-08002B2CF9AE}" pid="8" name="SensitivityPersonalDatasPropertyName">
    <vt:lpwstr/>
  </op:property>
  <op:property fmtid="{D5CDD505-2E9C-101B-9397-08002B2CF9AE}" pid="9" name="SensitivityApprovedContentPropertyName">
    <vt:lpwstr/>
  </op:property>
  <op:property fmtid="{D5CDD505-2E9C-101B-9397-08002B2CF9AE}" pid="10" name="SensitivityCanExportContentPropertyName">
    <vt:lpwstr/>
  </op:property>
  <op:property fmtid="{D5CDD505-2E9C-101B-9397-08002B2CF9AE}" pid="11" name="SensitivityDataRetentionPeriodPropertyName">
    <vt:lpwstr/>
  </op:property>
</op:Properties>
</file>